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MODELLING\"/>
    </mc:Choice>
  </mc:AlternateContent>
  <bookViews>
    <workbookView xWindow="0" yWindow="0" windowWidth="20490" windowHeight="7500"/>
  </bookViews>
  <sheets>
    <sheet name="COVER PAGE" sheetId="6" r:id="rId1"/>
    <sheet name="Assumptions" sheetId="1" r:id="rId2"/>
    <sheet name="Profit &amp; loss" sheetId="2" r:id="rId3"/>
    <sheet name="Cash flow statement" sheetId="4" r:id="rId4"/>
    <sheet name="Balance sheet" sheetId="3" r:id="rId5"/>
    <sheet name="DCF Valuation" sheetId="5" r:id="rId6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3" l="1"/>
  <c r="D26" i="2"/>
  <c r="J26" i="2"/>
  <c r="J5" i="2" l="1"/>
  <c r="I17" i="5"/>
  <c r="I15" i="5"/>
  <c r="I13" i="5"/>
  <c r="I11" i="5"/>
  <c r="I9" i="5"/>
  <c r="I8" i="5"/>
  <c r="H8" i="5"/>
  <c r="G8" i="5"/>
  <c r="F8" i="5"/>
  <c r="E8" i="5"/>
  <c r="I7" i="5"/>
  <c r="H7" i="5"/>
  <c r="G7" i="5"/>
  <c r="F7" i="5"/>
  <c r="E7" i="5"/>
  <c r="D7" i="5"/>
  <c r="C7" i="5"/>
  <c r="I5" i="5"/>
  <c r="H5" i="5"/>
  <c r="G5" i="5"/>
  <c r="F5" i="5"/>
  <c r="E5" i="5"/>
  <c r="P27" i="3"/>
  <c r="O27" i="3"/>
  <c r="N27" i="3"/>
  <c r="M27" i="3"/>
  <c r="L27" i="3"/>
  <c r="K27" i="3"/>
  <c r="K9" i="4" s="1"/>
  <c r="K12" i="4" s="1"/>
  <c r="J27" i="3"/>
  <c r="J9" i="4" s="1"/>
  <c r="J12" i="4" s="1"/>
  <c r="I27" i="3"/>
  <c r="H27" i="3"/>
  <c r="G27" i="3"/>
  <c r="F27" i="3"/>
  <c r="E27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P23" i="3"/>
  <c r="O23" i="3"/>
  <c r="N23" i="3"/>
  <c r="M23" i="3"/>
  <c r="L23" i="3"/>
  <c r="K23" i="3"/>
  <c r="J23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I18" i="3"/>
  <c r="H18" i="3"/>
  <c r="G18" i="3"/>
  <c r="F18" i="3"/>
  <c r="E18" i="3"/>
  <c r="D18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I15" i="3"/>
  <c r="H15" i="3"/>
  <c r="G15" i="3"/>
  <c r="F15" i="3"/>
  <c r="E15" i="3"/>
  <c r="D15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P11" i="3"/>
  <c r="O11" i="3"/>
  <c r="N11" i="3"/>
  <c r="M11" i="3"/>
  <c r="L11" i="3"/>
  <c r="K11" i="3"/>
  <c r="J11" i="3"/>
  <c r="I10" i="3"/>
  <c r="H10" i="3"/>
  <c r="G10" i="3"/>
  <c r="F10" i="3"/>
  <c r="E10" i="3"/>
  <c r="D10" i="3"/>
  <c r="P9" i="3"/>
  <c r="O9" i="3"/>
  <c r="N9" i="3"/>
  <c r="M9" i="3"/>
  <c r="L9" i="3"/>
  <c r="K9" i="3"/>
  <c r="J9" i="3"/>
  <c r="I9" i="3"/>
  <c r="H9" i="3"/>
  <c r="G9" i="3"/>
  <c r="F9" i="3"/>
  <c r="E9" i="3"/>
  <c r="D9" i="3"/>
  <c r="P8" i="3"/>
  <c r="O8" i="3"/>
  <c r="N8" i="3"/>
  <c r="M8" i="3"/>
  <c r="L8" i="3"/>
  <c r="K8" i="3"/>
  <c r="J8" i="3"/>
  <c r="P7" i="3"/>
  <c r="O7" i="3"/>
  <c r="N7" i="3"/>
  <c r="M7" i="3"/>
  <c r="L7" i="3"/>
  <c r="K7" i="3"/>
  <c r="J14" i="4"/>
  <c r="P12" i="4"/>
  <c r="O12" i="4"/>
  <c r="N12" i="4"/>
  <c r="M12" i="4"/>
  <c r="L12" i="4"/>
  <c r="I12" i="4"/>
  <c r="H12" i="4"/>
  <c r="G12" i="4"/>
  <c r="F12" i="4"/>
  <c r="E12" i="4"/>
  <c r="D12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P9" i="4"/>
  <c r="O9" i="4"/>
  <c r="N9" i="4"/>
  <c r="M9" i="4"/>
  <c r="L9" i="4"/>
  <c r="I9" i="4"/>
  <c r="H9" i="4"/>
  <c r="G9" i="4"/>
  <c r="F9" i="4"/>
  <c r="E9" i="4"/>
  <c r="P8" i="4"/>
  <c r="O8" i="4"/>
  <c r="N8" i="4"/>
  <c r="M8" i="4"/>
  <c r="L8" i="4"/>
  <c r="K8" i="4"/>
  <c r="J8" i="4"/>
  <c r="I8" i="4"/>
  <c r="H8" i="4"/>
  <c r="G8" i="4"/>
  <c r="F8" i="4"/>
  <c r="E8" i="4"/>
  <c r="D8" i="4"/>
  <c r="P7" i="4"/>
  <c r="O7" i="4"/>
  <c r="N7" i="4"/>
  <c r="M7" i="4"/>
  <c r="L7" i="4"/>
  <c r="K7" i="4"/>
  <c r="J7" i="4"/>
  <c r="I7" i="4"/>
  <c r="H7" i="4"/>
  <c r="G7" i="4"/>
  <c r="F7" i="4"/>
  <c r="E7" i="4"/>
  <c r="D7" i="4"/>
  <c r="P26" i="2"/>
  <c r="O26" i="2"/>
  <c r="N26" i="2"/>
  <c r="M26" i="2"/>
  <c r="L26" i="2"/>
  <c r="K26" i="2"/>
  <c r="I26" i="2"/>
  <c r="H26" i="2"/>
  <c r="G26" i="2"/>
  <c r="F26" i="2"/>
  <c r="E26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I24" i="2"/>
  <c r="H24" i="2"/>
  <c r="G24" i="2"/>
  <c r="F24" i="2"/>
  <c r="E24" i="2"/>
  <c r="D24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I19" i="2"/>
  <c r="H19" i="2"/>
  <c r="G19" i="2"/>
  <c r="F19" i="2"/>
  <c r="E19" i="2"/>
  <c r="D19" i="2"/>
  <c r="P18" i="2"/>
  <c r="O18" i="2"/>
  <c r="N18" i="2"/>
  <c r="M18" i="2"/>
  <c r="L18" i="2"/>
  <c r="K18" i="2"/>
  <c r="J18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I14" i="2"/>
  <c r="H14" i="2"/>
  <c r="G14" i="2"/>
  <c r="F14" i="2"/>
  <c r="E14" i="2"/>
  <c r="D14" i="2"/>
  <c r="P13" i="2"/>
  <c r="O13" i="2"/>
  <c r="N13" i="2"/>
  <c r="M13" i="2"/>
  <c r="L13" i="2"/>
  <c r="K13" i="2"/>
  <c r="J13" i="2"/>
  <c r="I12" i="2"/>
  <c r="H12" i="2"/>
  <c r="G12" i="2"/>
  <c r="F12" i="2"/>
  <c r="E12" i="2"/>
  <c r="D12" i="2"/>
  <c r="P11" i="2"/>
  <c r="O11" i="2"/>
  <c r="N11" i="2"/>
  <c r="M11" i="2"/>
  <c r="L11" i="2"/>
  <c r="K11" i="2"/>
  <c r="J11" i="2"/>
  <c r="P9" i="2"/>
  <c r="O9" i="2"/>
  <c r="N9" i="2"/>
  <c r="M9" i="2"/>
  <c r="L9" i="2"/>
  <c r="K9" i="2"/>
  <c r="J9" i="2"/>
  <c r="I9" i="2"/>
  <c r="H9" i="2"/>
  <c r="G9" i="2"/>
  <c r="F9" i="2"/>
  <c r="E9" i="2"/>
  <c r="D9" i="2"/>
  <c r="I8" i="2"/>
  <c r="H8" i="2"/>
  <c r="G8" i="2"/>
  <c r="F8" i="2"/>
  <c r="E8" i="2"/>
  <c r="D8" i="2"/>
  <c r="P7" i="2"/>
  <c r="O7" i="2"/>
  <c r="N7" i="2"/>
  <c r="M7" i="2"/>
  <c r="L7" i="2"/>
  <c r="K7" i="2"/>
  <c r="J7" i="2"/>
  <c r="I6" i="2"/>
  <c r="H6" i="2"/>
  <c r="G6" i="2"/>
  <c r="F6" i="2"/>
  <c r="E6" i="2"/>
  <c r="P5" i="2"/>
  <c r="O5" i="2"/>
  <c r="N5" i="2"/>
  <c r="M5" i="2"/>
  <c r="L5" i="2"/>
  <c r="K5" i="2"/>
  <c r="C16" i="1"/>
  <c r="C15" i="1"/>
  <c r="C14" i="1"/>
  <c r="C5" i="5" l="1"/>
  <c r="C8" i="5" s="1"/>
  <c r="J15" i="4"/>
  <c r="K14" i="4" s="1"/>
  <c r="D5" i="5"/>
  <c r="D8" i="5" s="1"/>
  <c r="K15" i="4"/>
  <c r="L14" i="4" s="1"/>
  <c r="L15" i="4" s="1"/>
  <c r="M14" i="4" s="1"/>
  <c r="M15" i="4" s="1"/>
  <c r="N14" i="4" s="1"/>
  <c r="N15" i="4" s="1"/>
  <c r="O14" i="4" s="1"/>
  <c r="O15" i="4" s="1"/>
  <c r="P14" i="4" s="1"/>
  <c r="P15" i="4" s="1"/>
</calcChain>
</file>

<file path=xl/sharedStrings.xml><?xml version="1.0" encoding="utf-8"?>
<sst xmlns="http://schemas.openxmlformats.org/spreadsheetml/2006/main" count="146" uniqueCount="111">
  <si>
    <t>Assumptions</t>
  </si>
  <si>
    <t xml:space="preserve">revenue growth % </t>
  </si>
  <si>
    <t>COGS % of Revenue</t>
  </si>
  <si>
    <t>Employee Expense % of Revenue</t>
  </si>
  <si>
    <t>Other Expense % of Revenue</t>
  </si>
  <si>
    <t>Depreciation % of Revenue</t>
  </si>
  <si>
    <t>Tax Rate %</t>
  </si>
  <si>
    <t>Capex %</t>
  </si>
  <si>
    <t>Change In Working Capital %</t>
  </si>
  <si>
    <t>WACC</t>
  </si>
  <si>
    <t>g</t>
  </si>
  <si>
    <t>Receivable Days</t>
  </si>
  <si>
    <t>Inventory Days</t>
  </si>
  <si>
    <t>Payable Days</t>
  </si>
  <si>
    <t>ITC LIMITED</t>
  </si>
  <si>
    <t>FY 2020</t>
  </si>
  <si>
    <t>FY 2021</t>
  </si>
  <si>
    <t>FY 2022</t>
  </si>
  <si>
    <t>FY 2023</t>
  </si>
  <si>
    <t>FY 2024</t>
  </si>
  <si>
    <t>FY 2025</t>
  </si>
  <si>
    <t>FY 2026</t>
  </si>
  <si>
    <t>FY 2027</t>
  </si>
  <si>
    <t>FY 2028</t>
  </si>
  <si>
    <t>FY 2029</t>
  </si>
  <si>
    <t>FY 2030</t>
  </si>
  <si>
    <t>FY 2031</t>
  </si>
  <si>
    <t>FY 2032</t>
  </si>
  <si>
    <t>PROFIT &amp; LOSS</t>
  </si>
  <si>
    <t>Revenue</t>
  </si>
  <si>
    <t>Revenue Growth %</t>
  </si>
  <si>
    <t>(-) COGS</t>
  </si>
  <si>
    <t>COGS %</t>
  </si>
  <si>
    <t>Gross Profit</t>
  </si>
  <si>
    <t>(-) Employee Expense</t>
  </si>
  <si>
    <t>Employee Expense %</t>
  </si>
  <si>
    <t>(-) Other Expense</t>
  </si>
  <si>
    <t>Other Expense %</t>
  </si>
  <si>
    <t>EBITDA</t>
  </si>
  <si>
    <t>EBITDA Margin %</t>
  </si>
  <si>
    <t>(-) Depreciation</t>
  </si>
  <si>
    <t>Depreciation %</t>
  </si>
  <si>
    <t>EBIT</t>
  </si>
  <si>
    <t>EBIT Margin %</t>
  </si>
  <si>
    <t>(-) Tax</t>
  </si>
  <si>
    <t>Tax Margin %</t>
  </si>
  <si>
    <t>PAT (Net Income)</t>
  </si>
  <si>
    <t>PAT Margin %</t>
  </si>
  <si>
    <t>CASH FLOW</t>
  </si>
  <si>
    <t>Opening Cash</t>
  </si>
  <si>
    <t>(+) Depreciation</t>
  </si>
  <si>
    <t>– Change in Working Capital</t>
  </si>
  <si>
    <t>– Capex</t>
  </si>
  <si>
    <t>Free Cash Flow</t>
  </si>
  <si>
    <t>(+) Opening Cash</t>
  </si>
  <si>
    <t>Closing Cash</t>
  </si>
  <si>
    <t xml:space="preserve">BALANCE SHEET </t>
  </si>
  <si>
    <t>Assets</t>
  </si>
  <si>
    <t>PPE</t>
  </si>
  <si>
    <t>Inventory</t>
  </si>
  <si>
    <t>Receivables</t>
  </si>
  <si>
    <t>Other Current + Non-current Assets</t>
  </si>
  <si>
    <t>Other Current + Non-current Assets %</t>
  </si>
  <si>
    <t>Cash</t>
  </si>
  <si>
    <t>Total Assets</t>
  </si>
  <si>
    <t>Liabilities</t>
  </si>
  <si>
    <t>Debt (Borrowings + Lease)</t>
  </si>
  <si>
    <t>Payables</t>
  </si>
  <si>
    <t>Other Liabilities</t>
  </si>
  <si>
    <t>Other Liabilities %</t>
  </si>
  <si>
    <t>Total Liabilities</t>
  </si>
  <si>
    <t>Equity</t>
  </si>
  <si>
    <t>Share Capital (constant)</t>
  </si>
  <si>
    <t>Retained Earnings</t>
  </si>
  <si>
    <t>Total Equity</t>
  </si>
  <si>
    <t>Working Capital</t>
  </si>
  <si>
    <t>Change in Working Cpital</t>
  </si>
  <si>
    <t>DCF VALUATION</t>
  </si>
  <si>
    <t>FCF</t>
  </si>
  <si>
    <t>DISCOUNT FACTOR</t>
  </si>
  <si>
    <t xml:space="preserve">PV OF FCF </t>
  </si>
  <si>
    <t>TERMINAL VALUE (TV)</t>
  </si>
  <si>
    <t>PV OF TV</t>
  </si>
  <si>
    <t>ENTERPRISE VALUE (EV)</t>
  </si>
  <si>
    <t>EQUITY VALUE</t>
  </si>
  <si>
    <t>SHARE PRICE</t>
  </si>
  <si>
    <t>Integrated Financial Model &amp; DCF Valuation</t>
  </si>
  <si>
    <t>ITC Ltd.</t>
  </si>
  <si>
    <t>Project Objective</t>
  </si>
  <si>
    <t>To develop an integrated three-statement financial model for ITC Ltd.</t>
  </si>
  <si>
    <t>using historical financial data and estimate the company's intrinsic value through Discounted Cash Flow (DCF) valuation to support investment decision-making.</t>
  </si>
  <si>
    <t>Financial Period</t>
  </si>
  <si>
    <r>
      <t>Historical Data:</t>
    </r>
    <r>
      <rPr>
        <sz val="11"/>
        <color theme="1"/>
        <rFont val="Calibri"/>
        <family val="2"/>
        <scheme val="minor"/>
      </rPr>
      <t xml:space="preserve"> FY2021 – FY2025</t>
    </r>
  </si>
  <si>
    <r>
      <t>Forecast Period:</t>
    </r>
    <r>
      <rPr>
        <sz val="11"/>
        <color theme="1"/>
        <rFont val="Calibri"/>
        <family val="2"/>
        <scheme val="minor"/>
      </rPr>
      <t xml:space="preserve"> FY2026 – FY2032</t>
    </r>
  </si>
  <si>
    <t>Model Components</t>
  </si>
  <si>
    <t>Income Statement</t>
  </si>
  <si>
    <t>Balance Sheet</t>
  </si>
  <si>
    <t>Cash Flow Statement</t>
  </si>
  <si>
    <t>DCF Valuation</t>
  </si>
  <si>
    <t>Tools &amp; Techniques</t>
  </si>
  <si>
    <t>Microsoft Excel</t>
  </si>
  <si>
    <t>Financial Statement Analysis</t>
  </si>
  <si>
    <t>Three-Statement Financial Modelling</t>
  </si>
  <si>
    <t>Financial Forecasting</t>
  </si>
  <si>
    <t>Key Deliverables</t>
  </si>
  <si>
    <t>Historical Financial Analysis</t>
  </si>
  <si>
    <t>Forecasted Financial Statements</t>
  </si>
  <si>
    <t>Integrated Three-Statement Model</t>
  </si>
  <si>
    <t>Free Cash Flow (FCF) Estimation</t>
  </si>
  <si>
    <t>Enterprise &amp; Equity Valuation</t>
  </si>
  <si>
    <t>Intrinsic Share Price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</si>
</sst>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4"/>
      <color rgb="FFFF0000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2" fontId="0" fillId="0" borderId="0" xfId="0" applyNumberFormat="1"/>
    <xf numFmtId="0" fontId="2" fillId="2" borderId="0" xfId="0" applyFont="1" applyFill="1" applyAlignment="1">
      <alignment vertical="center"/>
    </xf>
    <xf numFmtId="0" fontId="3" fillId="0" borderId="0" xfId="0" applyFont="1"/>
    <xf numFmtId="14" fontId="2" fillId="2" borderId="0" xfId="0" applyNumberFormat="1" applyFont="1" applyFill="1" applyAlignment="1">
      <alignment vertical="center"/>
    </xf>
    <xf numFmtId="2" fontId="0" fillId="0" borderId="0" xfId="0" applyNumberFormat="1" applyFill="1"/>
    <xf numFmtId="2" fontId="0" fillId="3" borderId="0" xfId="0" applyNumberFormat="1" applyFill="1"/>
    <xf numFmtId="9" fontId="0" fillId="0" borderId="0" xfId="1" applyFont="1"/>
    <xf numFmtId="0" fontId="2" fillId="4" borderId="0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14" fontId="2" fillId="4" borderId="0" xfId="0" applyNumberFormat="1" applyFont="1" applyFill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  <xf numFmtId="2" fontId="0" fillId="0" borderId="0" xfId="0" applyNumberFormat="1" applyBorder="1"/>
    <xf numFmtId="2" fontId="0" fillId="0" borderId="1" xfId="0" applyNumberFormat="1" applyBorder="1"/>
    <xf numFmtId="9" fontId="0" fillId="0" borderId="0" xfId="1" applyFont="1" applyBorder="1"/>
    <xf numFmtId="9" fontId="0" fillId="0" borderId="1" xfId="1" applyFont="1" applyBorder="1"/>
    <xf numFmtId="2" fontId="0" fillId="0" borderId="0" xfId="0" applyNumberFormat="1" applyFill="1" applyBorder="1"/>
    <xf numFmtId="0" fontId="4" fillId="3" borderId="0" xfId="0" applyFont="1" applyFill="1"/>
    <xf numFmtId="0" fontId="0" fillId="0" borderId="0" xfId="0" applyBorder="1"/>
    <xf numFmtId="0" fontId="0" fillId="0" borderId="1" xfId="0" applyBorder="1"/>
    <xf numFmtId="9" fontId="0" fillId="0" borderId="0" xfId="0" applyNumberFormat="1"/>
    <xf numFmtId="1" fontId="0" fillId="0" borderId="0" xfId="0" applyNumberForma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0" applyFont="1"/>
    <xf numFmtId="0" fontId="6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6"/>
  <sheetViews>
    <sheetView tabSelected="1" topLeftCell="A2" workbookViewId="0">
      <selection activeCell="N22" sqref="N22"/>
    </sheetView>
  </sheetViews>
  <sheetFormatPr defaultRowHeight="15"/>
  <sheetData>
    <row r="2" spans="1:10" ht="20.25">
      <c r="A2" s="22" t="s">
        <v>86</v>
      </c>
    </row>
    <row r="4" spans="1:10" ht="21">
      <c r="A4" s="23" t="s">
        <v>87</v>
      </c>
    </row>
    <row r="7" spans="1:10">
      <c r="A7" s="24" t="s">
        <v>88</v>
      </c>
    </row>
    <row r="8" spans="1:10">
      <c r="A8" s="24" t="s">
        <v>89</v>
      </c>
    </row>
    <row r="9" spans="1:10">
      <c r="A9" s="24" t="s">
        <v>90</v>
      </c>
    </row>
    <row r="12" spans="1:10">
      <c r="A12" s="24" t="s">
        <v>91</v>
      </c>
      <c r="J12" s="24" t="s">
        <v>99</v>
      </c>
    </row>
    <row r="13" spans="1:10">
      <c r="A13" s="25" t="s">
        <v>92</v>
      </c>
      <c r="J13" s="24" t="s">
        <v>100</v>
      </c>
    </row>
    <row r="14" spans="1:10">
      <c r="A14" s="25" t="s">
        <v>93</v>
      </c>
      <c r="J14" s="24" t="s">
        <v>101</v>
      </c>
    </row>
    <row r="15" spans="1:10">
      <c r="J15" s="24" t="s">
        <v>102</v>
      </c>
    </row>
    <row r="16" spans="1:10">
      <c r="J16" s="24" t="s">
        <v>103</v>
      </c>
    </row>
    <row r="17" spans="1:14">
      <c r="A17" s="24" t="s">
        <v>94</v>
      </c>
      <c r="J17" s="24"/>
    </row>
    <row r="18" spans="1:14">
      <c r="A18" s="24" t="s">
        <v>0</v>
      </c>
    </row>
    <row r="19" spans="1:14">
      <c r="A19" s="24" t="s">
        <v>95</v>
      </c>
      <c r="J19" s="24" t="s">
        <v>104</v>
      </c>
    </row>
    <row r="20" spans="1:14">
      <c r="A20" s="24" t="s">
        <v>96</v>
      </c>
      <c r="J20" s="24" t="s">
        <v>105</v>
      </c>
      <c r="N20" s="24" t="s">
        <v>108</v>
      </c>
    </row>
    <row r="21" spans="1:14">
      <c r="A21" s="24" t="s">
        <v>97</v>
      </c>
      <c r="J21" s="24" t="s">
        <v>106</v>
      </c>
      <c r="N21" s="24" t="s">
        <v>109</v>
      </c>
    </row>
    <row r="22" spans="1:14">
      <c r="A22" s="24" t="s">
        <v>98</v>
      </c>
      <c r="J22" s="24" t="s">
        <v>107</v>
      </c>
      <c r="N22" s="24" t="s">
        <v>110</v>
      </c>
    </row>
    <row r="23" spans="1:14">
      <c r="J23" s="24"/>
    </row>
    <row r="25" spans="1:14">
      <c r="A25" s="24"/>
    </row>
    <row r="26" spans="1:14">
      <c r="A26" s="24"/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6"/>
  <sheetViews>
    <sheetView topLeftCell="A3" workbookViewId="0">
      <selection activeCell="C5" sqref="C5"/>
    </sheetView>
  </sheetViews>
  <sheetFormatPr defaultColWidth="9" defaultRowHeight="15"/>
  <cols>
    <col min="1" max="1" width="30.7109375" customWidth="1"/>
  </cols>
  <sheetData>
    <row r="3" spans="1:3" ht="18.75">
      <c r="A3" s="3" t="s">
        <v>0</v>
      </c>
    </row>
    <row r="4" spans="1:3">
      <c r="A4" t="s">
        <v>1</v>
      </c>
      <c r="C4" s="20">
        <v>0.08</v>
      </c>
    </row>
    <row r="5" spans="1:3">
      <c r="A5" t="s">
        <v>2</v>
      </c>
      <c r="C5" s="20">
        <v>0.28000000000000003</v>
      </c>
    </row>
    <row r="6" spans="1:3">
      <c r="A6" t="s">
        <v>3</v>
      </c>
      <c r="C6" s="20">
        <v>0.06</v>
      </c>
    </row>
    <row r="7" spans="1:3">
      <c r="A7" t="s">
        <v>4</v>
      </c>
      <c r="C7" s="20">
        <v>0.15</v>
      </c>
    </row>
    <row r="8" spans="1:3">
      <c r="A8" t="s">
        <v>5</v>
      </c>
      <c r="C8" s="20">
        <v>0.03</v>
      </c>
    </row>
    <row r="9" spans="1:3">
      <c r="A9" t="s">
        <v>6</v>
      </c>
      <c r="C9" s="20">
        <v>0.2</v>
      </c>
    </row>
    <row r="10" spans="1:3">
      <c r="A10" t="s">
        <v>7</v>
      </c>
      <c r="C10" s="20">
        <v>0.05</v>
      </c>
    </row>
    <row r="11" spans="1:3">
      <c r="A11" t="s">
        <v>8</v>
      </c>
      <c r="C11" s="20">
        <v>0.02</v>
      </c>
    </row>
    <row r="12" spans="1:3">
      <c r="A12" t="s">
        <v>9</v>
      </c>
      <c r="C12" s="20">
        <v>0.1</v>
      </c>
    </row>
    <row r="13" spans="1:3">
      <c r="A13" t="s">
        <v>10</v>
      </c>
      <c r="C13" s="20">
        <v>0.03</v>
      </c>
    </row>
    <row r="14" spans="1:3">
      <c r="A14" t="s">
        <v>11</v>
      </c>
      <c r="C14" s="21">
        <f>'Balance sheet'!I8/'Profit &amp; loss'!I5*365</f>
        <v>21.107963115580699</v>
      </c>
    </row>
    <row r="15" spans="1:3">
      <c r="A15" t="s">
        <v>12</v>
      </c>
      <c r="C15" s="21">
        <f>'Balance sheet'!I7/'Profit &amp; loss'!I7*365</f>
        <v>240.25045743776801</v>
      </c>
    </row>
    <row r="16" spans="1:3">
      <c r="A16" t="s">
        <v>13</v>
      </c>
      <c r="C16" s="21">
        <f>'Balance sheet'!I16/'Profit &amp; loss'!I7*365</f>
        <v>73.857815672047295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topLeftCell="A2" workbookViewId="0">
      <selection activeCell="J7" sqref="J7"/>
    </sheetView>
  </sheetViews>
  <sheetFormatPr defaultColWidth="9" defaultRowHeight="15"/>
  <cols>
    <col min="1" max="1" width="30.7109375" customWidth="1"/>
    <col min="4" max="11" width="9.28515625" customWidth="1"/>
    <col min="12" max="16" width="9.5703125" customWidth="1"/>
  </cols>
  <sheetData>
    <row r="1" spans="1:16" ht="18">
      <c r="A1" s="17" t="s">
        <v>14</v>
      </c>
    </row>
    <row r="2" spans="1:16"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9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6" ht="18.75">
      <c r="A3" s="3" t="s">
        <v>28</v>
      </c>
      <c r="D3" s="10">
        <v>43921</v>
      </c>
      <c r="E3" s="10">
        <v>44286</v>
      </c>
      <c r="F3" s="10">
        <v>44651</v>
      </c>
      <c r="G3" s="10">
        <v>45016</v>
      </c>
      <c r="H3" s="10">
        <v>45382</v>
      </c>
      <c r="I3" s="11">
        <v>45747</v>
      </c>
      <c r="J3" s="4">
        <v>46112</v>
      </c>
      <c r="K3" s="4">
        <v>46477</v>
      </c>
      <c r="L3" s="4">
        <v>46843</v>
      </c>
      <c r="M3" s="4">
        <v>47208</v>
      </c>
      <c r="N3" s="4">
        <v>47573</v>
      </c>
      <c r="O3" s="4">
        <v>47574</v>
      </c>
      <c r="P3" s="4">
        <v>47575</v>
      </c>
    </row>
    <row r="4" spans="1:16">
      <c r="D4" s="18"/>
      <c r="E4" s="18"/>
      <c r="F4" s="18"/>
      <c r="G4" s="18"/>
      <c r="H4" s="18"/>
      <c r="I4" s="19"/>
    </row>
    <row r="5" spans="1:16" s="1" customFormat="1">
      <c r="A5" s="1" t="s">
        <v>29</v>
      </c>
      <c r="D5" s="12">
        <v>46807.34</v>
      </c>
      <c r="E5" s="12">
        <v>48524.54</v>
      </c>
      <c r="F5" s="12">
        <v>59745.56</v>
      </c>
      <c r="G5" s="12">
        <v>70251.28</v>
      </c>
      <c r="H5" s="12">
        <v>70105.289999999994</v>
      </c>
      <c r="I5" s="13">
        <v>81612.78</v>
      </c>
      <c r="J5" s="1">
        <f>I5*(1+J6)</f>
        <v>88141.8024</v>
      </c>
      <c r="K5" s="1">
        <f t="shared" ref="K5:N5" si="0">J5*(1+K6)</f>
        <v>96074.564616000003</v>
      </c>
      <c r="L5" s="1">
        <f t="shared" si="0"/>
        <v>103760.52978528</v>
      </c>
      <c r="M5" s="1">
        <f t="shared" si="0"/>
        <v>112061.372168102</v>
      </c>
      <c r="N5" s="1">
        <f t="shared" si="0"/>
        <v>121026.281941551</v>
      </c>
      <c r="O5" s="1">
        <f t="shared" ref="O5" si="1">N5*(1+O6)</f>
        <v>130708.38449687501</v>
      </c>
      <c r="P5" s="1">
        <f t="shared" ref="P5" si="2">O5*(1+P6)</f>
        <v>141165.055256625</v>
      </c>
    </row>
    <row r="6" spans="1:16" s="7" customFormat="1">
      <c r="A6" s="7" t="s">
        <v>30</v>
      </c>
      <c r="D6" s="14"/>
      <c r="E6" s="14">
        <f>E5/D5-1</f>
        <v>3.6686553860997097E-2</v>
      </c>
      <c r="F6" s="14">
        <f t="shared" ref="F6:I6" si="3">F5/E5-1</f>
        <v>0.231244232299781</v>
      </c>
      <c r="G6" s="14">
        <f t="shared" si="3"/>
        <v>0.17584101647051301</v>
      </c>
      <c r="H6" s="14">
        <f t="shared" si="3"/>
        <v>-2.0781116016677101E-3</v>
      </c>
      <c r="I6" s="15">
        <f t="shared" si="3"/>
        <v>0.16414581552975499</v>
      </c>
      <c r="J6" s="7">
        <v>0.08</v>
      </c>
      <c r="K6" s="7">
        <v>0.09</v>
      </c>
      <c r="L6" s="7">
        <v>0.08</v>
      </c>
      <c r="M6" s="7">
        <v>0.08</v>
      </c>
      <c r="N6" s="7">
        <v>0.08</v>
      </c>
      <c r="O6" s="7">
        <v>0.08</v>
      </c>
      <c r="P6" s="7">
        <v>0.08</v>
      </c>
    </row>
    <row r="7" spans="1:16" s="1" customFormat="1">
      <c r="A7" s="1" t="s">
        <v>31</v>
      </c>
      <c r="D7" s="12">
        <v>13121.76</v>
      </c>
      <c r="E7" s="12">
        <v>13605.07</v>
      </c>
      <c r="F7" s="12">
        <v>16064.5</v>
      </c>
      <c r="G7" s="12">
        <v>19809.830000000002</v>
      </c>
      <c r="H7" s="12">
        <v>21309.84</v>
      </c>
      <c r="I7" s="13">
        <v>23757.33</v>
      </c>
      <c r="J7" s="1">
        <f>J5*J8</f>
        <v>24679.704672</v>
      </c>
      <c r="K7" s="1">
        <f t="shared" ref="K7:N7" si="4">K5*K8</f>
        <v>26900.878092480001</v>
      </c>
      <c r="L7" s="1">
        <f t="shared" si="4"/>
        <v>29052.9483398784</v>
      </c>
      <c r="M7" s="1">
        <f t="shared" si="4"/>
        <v>31377.184207068702</v>
      </c>
      <c r="N7" s="1">
        <f t="shared" si="4"/>
        <v>33887.358943634201</v>
      </c>
      <c r="O7" s="1">
        <f t="shared" ref="O7" si="5">O5*O8</f>
        <v>36598.347659124898</v>
      </c>
      <c r="P7" s="1">
        <f t="shared" ref="P7" si="6">P5*P8</f>
        <v>39526.215471854899</v>
      </c>
    </row>
    <row r="8" spans="1:16" s="7" customFormat="1">
      <c r="A8" s="7" t="s">
        <v>32</v>
      </c>
      <c r="D8" s="14">
        <f>D7/D5</f>
        <v>0.28033552002741502</v>
      </c>
      <c r="E8" s="14">
        <f t="shared" ref="E8:I8" si="7">E7/E5</f>
        <v>0.28037504322555101</v>
      </c>
      <c r="F8" s="14">
        <f t="shared" si="7"/>
        <v>0.26888190519931499</v>
      </c>
      <c r="G8" s="14">
        <f t="shared" si="7"/>
        <v>0.28198532468020499</v>
      </c>
      <c r="H8" s="14">
        <f t="shared" si="7"/>
        <v>0.30396907280463398</v>
      </c>
      <c r="I8" s="15">
        <f t="shared" si="7"/>
        <v>0.29109815889129098</v>
      </c>
      <c r="J8" s="7">
        <v>0.28000000000000003</v>
      </c>
      <c r="K8" s="7">
        <v>0.28000000000000003</v>
      </c>
      <c r="L8" s="7">
        <v>0.28000000000000003</v>
      </c>
      <c r="M8" s="7">
        <v>0.28000000000000003</v>
      </c>
      <c r="N8" s="7">
        <v>0.28000000000000003</v>
      </c>
      <c r="O8" s="7">
        <v>0.28000000000000003</v>
      </c>
      <c r="P8" s="7">
        <v>0.28000000000000003</v>
      </c>
    </row>
    <row r="9" spans="1:16" s="1" customFormat="1">
      <c r="A9" s="1" t="s">
        <v>33</v>
      </c>
      <c r="D9" s="12">
        <f>D5-D7</f>
        <v>33685.58</v>
      </c>
      <c r="E9" s="12">
        <f t="shared" ref="E9:P9" si="8">E5-E7</f>
        <v>34919.47</v>
      </c>
      <c r="F9" s="12">
        <f t="shared" si="8"/>
        <v>43681.06</v>
      </c>
      <c r="G9" s="12">
        <f t="shared" si="8"/>
        <v>50441.45</v>
      </c>
      <c r="H9" s="12">
        <f t="shared" si="8"/>
        <v>48795.45</v>
      </c>
      <c r="I9" s="13">
        <f t="shared" si="8"/>
        <v>57855.45</v>
      </c>
      <c r="J9" s="1">
        <f t="shared" si="8"/>
        <v>63462.097728000001</v>
      </c>
      <c r="K9" s="1">
        <f t="shared" si="8"/>
        <v>69173.686523519995</v>
      </c>
      <c r="L9" s="1">
        <f t="shared" si="8"/>
        <v>74707.581445401607</v>
      </c>
      <c r="M9" s="1">
        <f t="shared" si="8"/>
        <v>80684.187961033706</v>
      </c>
      <c r="N9" s="1">
        <f t="shared" si="8"/>
        <v>87138.922997916394</v>
      </c>
      <c r="O9" s="1">
        <f t="shared" si="8"/>
        <v>94110.036837749794</v>
      </c>
      <c r="P9" s="1">
        <f t="shared" si="8"/>
        <v>101638.83978477</v>
      </c>
    </row>
    <row r="10" spans="1:16">
      <c r="D10" s="18"/>
      <c r="E10" s="18"/>
      <c r="F10" s="18"/>
      <c r="G10" s="18"/>
      <c r="H10" s="18"/>
      <c r="I10" s="19"/>
    </row>
    <row r="11" spans="1:16" s="1" customFormat="1">
      <c r="A11" s="1" t="s">
        <v>34</v>
      </c>
      <c r="D11" s="12">
        <v>2658.21</v>
      </c>
      <c r="E11" s="12">
        <v>2820.95</v>
      </c>
      <c r="F11" s="12">
        <v>3061.99</v>
      </c>
      <c r="G11" s="12">
        <v>3569.46</v>
      </c>
      <c r="H11" s="12">
        <v>3732.23</v>
      </c>
      <c r="I11" s="13">
        <v>6169.78</v>
      </c>
      <c r="J11" s="1">
        <f>J5*J12</f>
        <v>5288.5081440000004</v>
      </c>
      <c r="K11" s="1">
        <f t="shared" ref="K11:N11" si="9">K5*K12</f>
        <v>5764.4738769599999</v>
      </c>
      <c r="L11" s="1">
        <f t="shared" si="9"/>
        <v>6225.6317871168003</v>
      </c>
      <c r="M11" s="1">
        <f t="shared" si="9"/>
        <v>6723.6823300861497</v>
      </c>
      <c r="N11" s="1">
        <f t="shared" si="9"/>
        <v>7261.5769164930398</v>
      </c>
      <c r="O11" s="1">
        <f t="shared" ref="O11" si="10">O5*O12</f>
        <v>7842.5030698124801</v>
      </c>
      <c r="P11" s="1">
        <f t="shared" ref="P11" si="11">P5*P12</f>
        <v>8469.9033153974797</v>
      </c>
    </row>
    <row r="12" spans="1:16" s="7" customFormat="1">
      <c r="A12" s="7" t="s">
        <v>35</v>
      </c>
      <c r="D12" s="14">
        <f>D11/D5</f>
        <v>5.6790452095761099E-2</v>
      </c>
      <c r="E12" s="14">
        <f t="shared" ref="E12:I12" si="12">E11/E5</f>
        <v>5.8134502666073701E-2</v>
      </c>
      <c r="F12" s="14">
        <f t="shared" si="12"/>
        <v>5.1250502966245497E-2</v>
      </c>
      <c r="G12" s="14">
        <f t="shared" si="12"/>
        <v>5.0809892716545499E-2</v>
      </c>
      <c r="H12" s="14">
        <f t="shared" si="12"/>
        <v>5.32374946312896E-2</v>
      </c>
      <c r="I12" s="15">
        <f t="shared" si="12"/>
        <v>7.5598209005991499E-2</v>
      </c>
      <c r="J12" s="7">
        <v>0.06</v>
      </c>
      <c r="K12" s="7">
        <v>0.06</v>
      </c>
      <c r="L12" s="7">
        <v>0.06</v>
      </c>
      <c r="M12" s="7">
        <v>0.06</v>
      </c>
      <c r="N12" s="7">
        <v>0.06</v>
      </c>
      <c r="O12" s="7">
        <v>0.06</v>
      </c>
      <c r="P12" s="7">
        <v>0.06</v>
      </c>
    </row>
    <row r="13" spans="1:16" s="1" customFormat="1">
      <c r="A13" s="1" t="s">
        <v>36</v>
      </c>
      <c r="D13" s="12">
        <v>7822.11</v>
      </c>
      <c r="E13" s="12">
        <v>7167.09</v>
      </c>
      <c r="F13" s="12">
        <v>8113.1</v>
      </c>
      <c r="G13" s="12">
        <v>9649.16</v>
      </c>
      <c r="H13" s="12">
        <v>10247.870000000001</v>
      </c>
      <c r="I13" s="13">
        <v>11196.63</v>
      </c>
      <c r="J13" s="1">
        <f>J5*J14</f>
        <v>13221.27036</v>
      </c>
      <c r="K13" s="1">
        <f t="shared" ref="K13:N13" si="13">K5*K14</f>
        <v>14411.1846924</v>
      </c>
      <c r="L13" s="1">
        <f t="shared" si="13"/>
        <v>15564.079467792</v>
      </c>
      <c r="M13" s="1">
        <f t="shared" si="13"/>
        <v>16809.205825215398</v>
      </c>
      <c r="N13" s="1">
        <f t="shared" si="13"/>
        <v>18153.942291232601</v>
      </c>
      <c r="O13" s="1">
        <f t="shared" ref="O13" si="14">O5*O14</f>
        <v>19606.2576745312</v>
      </c>
      <c r="P13" s="1">
        <f t="shared" ref="P13" si="15">P5*P14</f>
        <v>21174.7582884937</v>
      </c>
    </row>
    <row r="14" spans="1:16" s="7" customFormat="1">
      <c r="A14" s="7" t="s">
        <v>37</v>
      </c>
      <c r="D14" s="14">
        <f>D13/D5</f>
        <v>0.167112892977896</v>
      </c>
      <c r="E14" s="14">
        <f t="shared" ref="E14:I14" si="16">E13/E5</f>
        <v>0.14770031823073401</v>
      </c>
      <c r="F14" s="14">
        <f t="shared" si="16"/>
        <v>0.13579419123362499</v>
      </c>
      <c r="G14" s="14">
        <f t="shared" si="16"/>
        <v>0.13735208810430199</v>
      </c>
      <c r="H14" s="14">
        <f t="shared" si="16"/>
        <v>0.14617826985666801</v>
      </c>
      <c r="I14" s="15">
        <f t="shared" si="16"/>
        <v>0.13719211623473701</v>
      </c>
      <c r="J14" s="7">
        <v>0.15</v>
      </c>
      <c r="K14" s="7">
        <v>0.15</v>
      </c>
      <c r="L14" s="7">
        <v>0.15</v>
      </c>
      <c r="M14" s="7">
        <v>0.15</v>
      </c>
      <c r="N14" s="7">
        <v>0.15</v>
      </c>
      <c r="O14" s="7">
        <v>0.15</v>
      </c>
      <c r="P14" s="7">
        <v>0.15</v>
      </c>
    </row>
    <row r="15" spans="1:16" s="1" customFormat="1">
      <c r="A15" s="1" t="s">
        <v>38</v>
      </c>
      <c r="D15" s="12">
        <f>D9-D11-D13</f>
        <v>23205.26</v>
      </c>
      <c r="E15" s="12">
        <f t="shared" ref="E15:P15" si="17">E9-E11-E13</f>
        <v>24931.43</v>
      </c>
      <c r="F15" s="12">
        <f t="shared" si="17"/>
        <v>32505.97</v>
      </c>
      <c r="G15" s="12">
        <f t="shared" si="17"/>
        <v>37222.83</v>
      </c>
      <c r="H15" s="12">
        <f t="shared" si="17"/>
        <v>34815.35</v>
      </c>
      <c r="I15" s="13">
        <f t="shared" si="17"/>
        <v>40489.040000000001</v>
      </c>
      <c r="J15" s="1">
        <f t="shared" si="17"/>
        <v>44952.319223999999</v>
      </c>
      <c r="K15" s="1">
        <f t="shared" si="17"/>
        <v>48998.027954160003</v>
      </c>
      <c r="L15" s="1">
        <f t="shared" si="17"/>
        <v>52917.870190492802</v>
      </c>
      <c r="M15" s="1">
        <f t="shared" si="17"/>
        <v>57151.299805732197</v>
      </c>
      <c r="N15" s="1">
        <f t="shared" si="17"/>
        <v>61723.403790190801</v>
      </c>
      <c r="O15" s="1">
        <f t="shared" si="17"/>
        <v>66661.276093406093</v>
      </c>
      <c r="P15" s="1">
        <f t="shared" si="17"/>
        <v>71994.178180878604</v>
      </c>
    </row>
    <row r="16" spans="1:16" s="7" customFormat="1">
      <c r="A16" s="7" t="s">
        <v>39</v>
      </c>
      <c r="D16" s="14">
        <f>D15/D5</f>
        <v>0.49576113489892798</v>
      </c>
      <c r="E16" s="14">
        <f t="shared" ref="E16:I16" si="18">E15/E5</f>
        <v>0.51379013587764</v>
      </c>
      <c r="F16" s="14">
        <f t="shared" si="18"/>
        <v>0.54407340060081499</v>
      </c>
      <c r="G16" s="14">
        <f t="shared" si="18"/>
        <v>0.52985269449894701</v>
      </c>
      <c r="H16" s="14">
        <f t="shared" si="18"/>
        <v>0.49661516270740802</v>
      </c>
      <c r="I16" s="15">
        <f t="shared" si="18"/>
        <v>0.49611151586798102</v>
      </c>
      <c r="J16" s="14">
        <f t="shared" ref="J16" si="19">J15/J5</f>
        <v>0.51</v>
      </c>
      <c r="K16" s="14">
        <f t="shared" ref="K16" si="20">K15/K5</f>
        <v>0.51</v>
      </c>
      <c r="L16" s="14">
        <f t="shared" ref="L16" si="21">L15/L5</f>
        <v>0.51</v>
      </c>
      <c r="M16" s="14">
        <f t="shared" ref="M16" si="22">M15/M5</f>
        <v>0.51</v>
      </c>
      <c r="N16" s="14">
        <f t="shared" ref="N16" si="23">N15/N5</f>
        <v>0.51</v>
      </c>
      <c r="O16" s="14">
        <f t="shared" ref="O16" si="24">O15/O5</f>
        <v>0.51</v>
      </c>
      <c r="P16" s="14">
        <f t="shared" ref="P16" si="25">P15/P5</f>
        <v>0.51</v>
      </c>
    </row>
    <row r="17" spans="1:16">
      <c r="D17" s="18"/>
      <c r="E17" s="18"/>
      <c r="F17" s="18"/>
      <c r="G17" s="18"/>
      <c r="H17" s="18"/>
      <c r="I17" s="19"/>
    </row>
    <row r="18" spans="1:16" s="1" customFormat="1">
      <c r="A18" s="1" t="s">
        <v>40</v>
      </c>
      <c r="D18" s="12">
        <v>1563.27</v>
      </c>
      <c r="E18" s="12">
        <v>1561.83</v>
      </c>
      <c r="F18" s="12">
        <v>1652.15</v>
      </c>
      <c r="G18" s="12">
        <v>1662.73</v>
      </c>
      <c r="H18" s="12">
        <v>1647.82</v>
      </c>
      <c r="I18" s="13">
        <v>1646.32</v>
      </c>
      <c r="J18" s="1">
        <f>J5*J19</f>
        <v>1762.8360479999999</v>
      </c>
      <c r="K18" s="1">
        <f t="shared" ref="K18:N18" si="26">K5*K19</f>
        <v>1921.49129232</v>
      </c>
      <c r="L18" s="1">
        <f t="shared" si="26"/>
        <v>2075.2105957056001</v>
      </c>
      <c r="M18" s="1">
        <f t="shared" si="26"/>
        <v>2241.2274433620501</v>
      </c>
      <c r="N18" s="1">
        <f t="shared" si="26"/>
        <v>2420.5256388310099</v>
      </c>
      <c r="O18" s="1">
        <f t="shared" ref="O18" si="27">O5*O19</f>
        <v>2614.1676899374902</v>
      </c>
      <c r="P18" s="1">
        <f t="shared" ref="P18" si="28">P5*P19</f>
        <v>2823.3011051324902</v>
      </c>
    </row>
    <row r="19" spans="1:16" s="7" customFormat="1">
      <c r="A19" s="7" t="s">
        <v>41</v>
      </c>
      <c r="D19" s="14">
        <f>D18/D5</f>
        <v>3.3397967070976503E-2</v>
      </c>
      <c r="E19" s="14">
        <f t="shared" ref="E19:I19" si="29">E18/E5</f>
        <v>3.2186394760259397E-2</v>
      </c>
      <c r="F19" s="14">
        <f t="shared" si="29"/>
        <v>2.7653100916620401E-2</v>
      </c>
      <c r="G19" s="14">
        <f t="shared" si="29"/>
        <v>2.3668323196388698E-2</v>
      </c>
      <c r="H19" s="14">
        <f t="shared" si="29"/>
        <v>2.3504930940304199E-2</v>
      </c>
      <c r="I19" s="15">
        <f t="shared" si="29"/>
        <v>2.0172330853084501E-2</v>
      </c>
      <c r="J19" s="7">
        <v>0.02</v>
      </c>
      <c r="K19" s="7">
        <v>0.02</v>
      </c>
      <c r="L19" s="7">
        <v>0.02</v>
      </c>
      <c r="M19" s="7">
        <v>0.02</v>
      </c>
      <c r="N19" s="7">
        <v>0.02</v>
      </c>
      <c r="O19" s="7">
        <v>0.02</v>
      </c>
      <c r="P19" s="7">
        <v>0.02</v>
      </c>
    </row>
    <row r="20" spans="1:16" s="1" customFormat="1">
      <c r="A20" s="1" t="s">
        <v>42</v>
      </c>
      <c r="D20" s="12">
        <f>D15-D18</f>
        <v>21641.99</v>
      </c>
      <c r="E20" s="12">
        <f t="shared" ref="E20:P20" si="30">E15-E18</f>
        <v>23369.599999999999</v>
      </c>
      <c r="F20" s="12">
        <f t="shared" si="30"/>
        <v>30853.82</v>
      </c>
      <c r="G20" s="12">
        <f t="shared" si="30"/>
        <v>35560.1</v>
      </c>
      <c r="H20" s="12">
        <f t="shared" si="30"/>
        <v>33167.53</v>
      </c>
      <c r="I20" s="13">
        <f t="shared" si="30"/>
        <v>38842.720000000001</v>
      </c>
      <c r="J20" s="1">
        <f t="shared" si="30"/>
        <v>43189.483176000002</v>
      </c>
      <c r="K20" s="1">
        <f t="shared" si="30"/>
        <v>47076.53666184</v>
      </c>
      <c r="L20" s="1">
        <f t="shared" si="30"/>
        <v>50842.659594787197</v>
      </c>
      <c r="M20" s="1">
        <f t="shared" si="30"/>
        <v>54910.0723623702</v>
      </c>
      <c r="N20" s="1">
        <f t="shared" si="30"/>
        <v>59302.878151359801</v>
      </c>
      <c r="O20" s="1">
        <f t="shared" si="30"/>
        <v>64047.108403468599</v>
      </c>
      <c r="P20" s="1">
        <f t="shared" si="30"/>
        <v>69170.877075746102</v>
      </c>
    </row>
    <row r="21" spans="1:16" s="7" customFormat="1">
      <c r="A21" s="7" t="s">
        <v>43</v>
      </c>
      <c r="D21" s="14">
        <f>D20/D5</f>
        <v>0.462363167827952</v>
      </c>
      <c r="E21" s="14">
        <f t="shared" ref="E21:I21" si="31">E20/E5</f>
        <v>0.48160374111738102</v>
      </c>
      <c r="F21" s="14">
        <f t="shared" si="31"/>
        <v>0.51642029968419401</v>
      </c>
      <c r="G21" s="14">
        <f t="shared" si="31"/>
        <v>0.506184371302558</v>
      </c>
      <c r="H21" s="14">
        <f t="shared" si="31"/>
        <v>0.47311023176710298</v>
      </c>
      <c r="I21" s="15">
        <f t="shared" si="31"/>
        <v>0.47593918501489602</v>
      </c>
      <c r="J21" s="14">
        <f t="shared" ref="J21" si="32">J20/J5</f>
        <v>0.49</v>
      </c>
      <c r="K21" s="14">
        <f t="shared" ref="K21" si="33">K20/K5</f>
        <v>0.49</v>
      </c>
      <c r="L21" s="14">
        <f t="shared" ref="L21" si="34">L20/L5</f>
        <v>0.49</v>
      </c>
      <c r="M21" s="14">
        <f t="shared" ref="M21" si="35">M20/M5</f>
        <v>0.49</v>
      </c>
      <c r="N21" s="14">
        <f t="shared" ref="N21" si="36">N20/N5</f>
        <v>0.49</v>
      </c>
      <c r="O21" s="14">
        <f t="shared" ref="O21" si="37">O20/O5</f>
        <v>0.49</v>
      </c>
      <c r="P21" s="14">
        <f t="shared" ref="P21" si="38">P20/P5</f>
        <v>0.49</v>
      </c>
    </row>
    <row r="22" spans="1:16">
      <c r="D22" s="18"/>
      <c r="E22" s="18"/>
      <c r="F22" s="18"/>
      <c r="G22" s="18"/>
      <c r="H22" s="18"/>
      <c r="I22" s="19"/>
    </row>
    <row r="23" spans="1:16" s="1" customFormat="1">
      <c r="A23" s="1" t="s">
        <v>44</v>
      </c>
      <c r="D23" s="12">
        <f>4441.97+(411.21)</f>
        <v>4853.18</v>
      </c>
      <c r="E23" s="12">
        <f>4035.36+97.15</f>
        <v>4132.51</v>
      </c>
      <c r="F23" s="12">
        <f>4833.88+(62.18)</f>
        <v>4896.0600000000004</v>
      </c>
      <c r="G23" s="12">
        <f>6025.32+(28.22)</f>
        <v>6053.54</v>
      </c>
      <c r="H23" s="12">
        <f>5661.21+232.59</f>
        <v>5893.8</v>
      </c>
      <c r="I23" s="13">
        <f>6509.61+380.86</f>
        <v>6890.47</v>
      </c>
      <c r="J23" s="1">
        <f>J20*J24</f>
        <v>8637.8966352000007</v>
      </c>
      <c r="K23" s="1">
        <f t="shared" ref="K23:N23" si="39">K20*K24</f>
        <v>9415.3073323680001</v>
      </c>
      <c r="L23" s="1">
        <f t="shared" si="39"/>
        <v>10168.5319189574</v>
      </c>
      <c r="M23" s="1">
        <f t="shared" si="39"/>
        <v>10982.014472474</v>
      </c>
      <c r="N23" s="1">
        <f t="shared" si="39"/>
        <v>11860.575630272</v>
      </c>
      <c r="O23" s="1">
        <f t="shared" ref="O23" si="40">O20*O24</f>
        <v>12809.4216806937</v>
      </c>
      <c r="P23" s="1">
        <f t="shared" ref="P23" si="41">P20*P24</f>
        <v>13834.1754151492</v>
      </c>
    </row>
    <row r="24" spans="1:16" s="7" customFormat="1">
      <c r="A24" s="7" t="s">
        <v>45</v>
      </c>
      <c r="D24" s="14">
        <f>D23/D20</f>
        <v>0.22424832466885</v>
      </c>
      <c r="E24" s="14">
        <f t="shared" ref="E24:I24" si="42">E23/E20</f>
        <v>0.176832722853622</v>
      </c>
      <c r="F24" s="14">
        <f t="shared" si="42"/>
        <v>0.15868569921001699</v>
      </c>
      <c r="G24" s="14">
        <f t="shared" si="42"/>
        <v>0.17023405445991399</v>
      </c>
      <c r="H24" s="14">
        <f t="shared" si="42"/>
        <v>0.17769788706002501</v>
      </c>
      <c r="I24" s="15">
        <f t="shared" si="42"/>
        <v>0.177394116580919</v>
      </c>
      <c r="J24" s="7">
        <v>0.2</v>
      </c>
      <c r="K24" s="7">
        <v>0.2</v>
      </c>
      <c r="L24" s="7">
        <v>0.2</v>
      </c>
      <c r="M24" s="7">
        <v>0.2</v>
      </c>
      <c r="N24" s="7">
        <v>0.2</v>
      </c>
      <c r="O24" s="7">
        <v>0.2</v>
      </c>
      <c r="P24" s="7">
        <v>0.2</v>
      </c>
    </row>
    <row r="25" spans="1:16" s="1" customFormat="1">
      <c r="A25" s="1" t="s">
        <v>46</v>
      </c>
      <c r="D25" s="12">
        <f>D20-D23</f>
        <v>16788.810000000001</v>
      </c>
      <c r="E25" s="12">
        <f t="shared" ref="E25:P25" si="43">E20-E23</f>
        <v>19237.09</v>
      </c>
      <c r="F25" s="12">
        <f t="shared" si="43"/>
        <v>25957.759999999998</v>
      </c>
      <c r="G25" s="12">
        <f t="shared" si="43"/>
        <v>29506.560000000001</v>
      </c>
      <c r="H25" s="12">
        <f t="shared" si="43"/>
        <v>27273.73</v>
      </c>
      <c r="I25" s="13">
        <f t="shared" si="43"/>
        <v>31952.25</v>
      </c>
      <c r="J25" s="1">
        <f t="shared" si="43"/>
        <v>34551.586540800003</v>
      </c>
      <c r="K25" s="1">
        <f t="shared" si="43"/>
        <v>37661.229329472</v>
      </c>
      <c r="L25" s="1">
        <f t="shared" si="43"/>
        <v>40674.127675829797</v>
      </c>
      <c r="M25" s="1">
        <f t="shared" si="43"/>
        <v>43928.057889896103</v>
      </c>
      <c r="N25" s="1">
        <f t="shared" si="43"/>
        <v>47442.302521087797</v>
      </c>
      <c r="O25" s="1">
        <f t="shared" si="43"/>
        <v>51237.686722774903</v>
      </c>
      <c r="P25" s="1">
        <f t="shared" si="43"/>
        <v>55336.701660596897</v>
      </c>
    </row>
    <row r="26" spans="1:16" s="7" customFormat="1">
      <c r="A26" s="7" t="s">
        <v>47</v>
      </c>
      <c r="D26" s="14">
        <f>D25/D5</f>
        <v>0.35867900205395142</v>
      </c>
      <c r="E26" s="14">
        <f t="shared" ref="E26:I26" si="44">E25/E5</f>
        <v>0.39644044023910402</v>
      </c>
      <c r="F26" s="14">
        <f t="shared" si="44"/>
        <v>0.43447178334256098</v>
      </c>
      <c r="G26" s="14">
        <f t="shared" si="44"/>
        <v>0.42001455347148098</v>
      </c>
      <c r="H26" s="14">
        <f t="shared" si="44"/>
        <v>0.38903954323561002</v>
      </c>
      <c r="I26" s="15">
        <f t="shared" si="44"/>
        <v>0.39151037374293601</v>
      </c>
      <c r="J26" s="14">
        <f>J25/J5</f>
        <v>0.39200000000000002</v>
      </c>
      <c r="K26" s="14">
        <f t="shared" ref="K26" si="45">K25/K5</f>
        <v>0.39200000000000002</v>
      </c>
      <c r="L26" s="14">
        <f t="shared" ref="L26" si="46">L25/L5</f>
        <v>0.39200000000000002</v>
      </c>
      <c r="M26" s="14">
        <f t="shared" ref="M26" si="47">M25/M5</f>
        <v>0.39200000000000002</v>
      </c>
      <c r="N26" s="14">
        <f t="shared" ref="N26" si="48">N25/N5</f>
        <v>0.39200000000000002</v>
      </c>
      <c r="O26" s="14">
        <f t="shared" ref="O26" si="49">O25/O5</f>
        <v>0.39200000000000002</v>
      </c>
      <c r="P26" s="14">
        <f t="shared" ref="P26" si="50">P25/P5</f>
        <v>0.39200000000000002</v>
      </c>
    </row>
  </sheetData>
  <pageMargins left="0.7" right="0.7" top="0.75" bottom="0.75" header="0.3" footer="0.3"/>
  <pageSetup paperSize="9" orientation="portrait" horizontalDpi="2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16"/>
  <sheetViews>
    <sheetView workbookViewId="0">
      <selection activeCell="B10" sqref="B10"/>
    </sheetView>
  </sheetViews>
  <sheetFormatPr defaultColWidth="9" defaultRowHeight="15"/>
  <cols>
    <col min="1" max="1" width="30.7109375" customWidth="1"/>
    <col min="4" max="4" width="9.7109375" customWidth="1"/>
    <col min="5" max="11" width="9.28515625" customWidth="1"/>
    <col min="12" max="12" width="9.140625" customWidth="1"/>
    <col min="13" max="16" width="9.5703125" customWidth="1"/>
  </cols>
  <sheetData>
    <row r="2" spans="1:16"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9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6" ht="18.75">
      <c r="A3" s="3" t="s">
        <v>48</v>
      </c>
      <c r="D3" s="10">
        <v>43921</v>
      </c>
      <c r="E3" s="10">
        <v>44286</v>
      </c>
      <c r="F3" s="10">
        <v>44651</v>
      </c>
      <c r="G3" s="10">
        <v>45016</v>
      </c>
      <c r="H3" s="10">
        <v>45382</v>
      </c>
      <c r="I3" s="11">
        <v>45747</v>
      </c>
      <c r="J3" s="4">
        <v>46112</v>
      </c>
      <c r="K3" s="4">
        <v>46477</v>
      </c>
      <c r="L3" s="4">
        <v>46843</v>
      </c>
      <c r="M3" s="4">
        <v>47208</v>
      </c>
      <c r="N3" s="4">
        <v>47573</v>
      </c>
      <c r="O3" s="4">
        <v>47574</v>
      </c>
      <c r="P3" s="4">
        <v>47575</v>
      </c>
    </row>
    <row r="4" spans="1:16">
      <c r="D4" s="12"/>
      <c r="E4" s="12"/>
      <c r="F4" s="12"/>
      <c r="G4" s="12"/>
      <c r="H4" s="12"/>
      <c r="I4" s="13"/>
      <c r="J4" s="1"/>
      <c r="K4" s="1"/>
      <c r="L4" s="1"/>
      <c r="M4" s="1"/>
      <c r="N4" s="1"/>
      <c r="O4" s="1"/>
      <c r="P4" s="1"/>
    </row>
    <row r="5" spans="1:16">
      <c r="A5" t="s">
        <v>49</v>
      </c>
      <c r="D5" s="12"/>
      <c r="E5" s="12"/>
      <c r="F5" s="12"/>
      <c r="G5" s="12"/>
      <c r="H5" s="12"/>
      <c r="I5" s="13"/>
      <c r="J5" s="1"/>
      <c r="K5" s="1"/>
      <c r="L5" s="1"/>
      <c r="M5" s="1"/>
      <c r="N5" s="1"/>
      <c r="O5" s="1"/>
      <c r="P5" s="1"/>
    </row>
    <row r="6" spans="1:16">
      <c r="D6" s="12"/>
      <c r="E6" s="12"/>
      <c r="F6" s="12"/>
      <c r="G6" s="12"/>
      <c r="H6" s="12"/>
      <c r="I6" s="13"/>
      <c r="J6" s="1"/>
      <c r="K6" s="1"/>
      <c r="L6" s="1"/>
      <c r="M6" s="1"/>
      <c r="N6" s="1"/>
      <c r="O6" s="1"/>
      <c r="P6" s="1"/>
    </row>
    <row r="7" spans="1:16" s="1" customFormat="1">
      <c r="A7" s="1" t="s">
        <v>46</v>
      </c>
      <c r="D7" s="12">
        <f>'Profit &amp; loss'!D25</f>
        <v>16788.810000000001</v>
      </c>
      <c r="E7" s="12">
        <f>'Profit &amp; loss'!E25</f>
        <v>19237.09</v>
      </c>
      <c r="F7" s="12">
        <f>'Profit &amp; loss'!F25</f>
        <v>25957.759999999998</v>
      </c>
      <c r="G7" s="12">
        <f>'Profit &amp; loss'!G25</f>
        <v>29506.560000000001</v>
      </c>
      <c r="H7" s="12">
        <f>'Profit &amp; loss'!H25</f>
        <v>27273.73</v>
      </c>
      <c r="I7" s="13">
        <f>'Profit &amp; loss'!I25</f>
        <v>31952.25</v>
      </c>
      <c r="J7" s="1">
        <f>'Profit &amp; loss'!J25</f>
        <v>34551.586540800003</v>
      </c>
      <c r="K7" s="1">
        <f>'Profit &amp; loss'!K25</f>
        <v>37661.229329472</v>
      </c>
      <c r="L7" s="1">
        <f>'Profit &amp; loss'!L25</f>
        <v>40674.127675829797</v>
      </c>
      <c r="M7" s="1">
        <f>'Profit &amp; loss'!M25</f>
        <v>43928.057889896103</v>
      </c>
      <c r="N7" s="1">
        <f>'Profit &amp; loss'!N25</f>
        <v>47442.302521087797</v>
      </c>
      <c r="O7" s="1">
        <f>'Profit &amp; loss'!O25</f>
        <v>51237.686722774903</v>
      </c>
      <c r="P7" s="1">
        <f>'Profit &amp; loss'!P25</f>
        <v>55336.701660596897</v>
      </c>
    </row>
    <row r="8" spans="1:16">
      <c r="A8" t="s">
        <v>50</v>
      </c>
      <c r="D8" s="12">
        <f>'Profit &amp; loss'!D18</f>
        <v>1563.27</v>
      </c>
      <c r="E8" s="12">
        <f>'Profit &amp; loss'!E18</f>
        <v>1561.83</v>
      </c>
      <c r="F8" s="12">
        <f>'Profit &amp; loss'!F18</f>
        <v>1652.15</v>
      </c>
      <c r="G8" s="12">
        <f>'Profit &amp; loss'!G18</f>
        <v>1662.73</v>
      </c>
      <c r="H8" s="12">
        <f>'Profit &amp; loss'!H18</f>
        <v>1647.82</v>
      </c>
      <c r="I8" s="13">
        <f>'Profit &amp; loss'!I18</f>
        <v>1646.32</v>
      </c>
      <c r="J8" s="1">
        <f>'Profit &amp; loss'!J18</f>
        <v>1762.8360479999999</v>
      </c>
      <c r="K8" s="1">
        <f>'Profit &amp; loss'!K18</f>
        <v>1921.49129232</v>
      </c>
      <c r="L8" s="1">
        <f>'Profit &amp; loss'!L18</f>
        <v>2075.2105957056001</v>
      </c>
      <c r="M8" s="1">
        <f>'Profit &amp; loss'!M18</f>
        <v>2241.2274433620501</v>
      </c>
      <c r="N8" s="1">
        <f>'Profit &amp; loss'!N18</f>
        <v>2420.5256388310099</v>
      </c>
      <c r="O8" s="1">
        <f>'Profit &amp; loss'!O18</f>
        <v>2614.1676899374902</v>
      </c>
      <c r="P8" s="1">
        <f>'Profit &amp; loss'!P18</f>
        <v>2823.3011051324902</v>
      </c>
    </row>
    <row r="9" spans="1:16">
      <c r="A9" t="s">
        <v>51</v>
      </c>
      <c r="D9" s="12"/>
      <c r="E9" s="12">
        <f>'Balance sheet'!E27</f>
        <v>758.36000000000104</v>
      </c>
      <c r="F9" s="12">
        <f>'Balance sheet'!F27</f>
        <v>285.17999999999898</v>
      </c>
      <c r="G9" s="12">
        <f>'Balance sheet'!G27</f>
        <v>837.099999999999</v>
      </c>
      <c r="H9" s="12">
        <f>'Balance sheet'!H27</f>
        <v>2889.44</v>
      </c>
      <c r="I9" s="13">
        <f>'Balance sheet'!I27</f>
        <v>4096.5200000000004</v>
      </c>
      <c r="J9" s="12">
        <f>'Balance sheet'!J27</f>
        <v>798.05677362158895</v>
      </c>
      <c r="K9" s="12">
        <f>'Balance sheet'!K27</f>
        <v>1471.3188096259109</v>
      </c>
      <c r="L9" s="12">
        <f>'Balance sheet'!L27</f>
        <v>1425.5444466598001</v>
      </c>
      <c r="M9" s="12">
        <f>'Balance sheet'!M27</f>
        <v>1539.5880023925799</v>
      </c>
      <c r="N9" s="12">
        <f>'Balance sheet'!N27</f>
        <v>1662.75504258399</v>
      </c>
      <c r="O9" s="12">
        <f>'Balance sheet'!O27</f>
        <v>9201.45767971442</v>
      </c>
      <c r="P9" s="12">
        <f>'Balance sheet'!P27</f>
        <v>2531.8920603678698</v>
      </c>
    </row>
    <row r="10" spans="1:16">
      <c r="A10" t="s">
        <v>52</v>
      </c>
      <c r="D10" s="12">
        <f>'Balance sheet'!D6</f>
        <v>18932.57</v>
      </c>
      <c r="E10" s="12">
        <f>'Balance sheet'!E6</f>
        <v>18489.91</v>
      </c>
      <c r="F10" s="12">
        <f>'Balance sheet'!F6</f>
        <v>19559.150000000001</v>
      </c>
      <c r="G10" s="12">
        <f>'Balance sheet'!G6</f>
        <v>20491.32</v>
      </c>
      <c r="H10" s="12">
        <f>'Balance sheet'!H6</f>
        <v>22015.5</v>
      </c>
      <c r="I10" s="13">
        <f>'Balance sheet'!I6</f>
        <v>17428.89</v>
      </c>
      <c r="J10" s="1">
        <f>'Profit &amp; loss'!J5*Assumptions!C10</f>
        <v>4407.0901199999998</v>
      </c>
      <c r="K10" s="1">
        <f>'Profit &amp; loss'!K5*Assumptions!C10</f>
        <v>4803.7282308000003</v>
      </c>
      <c r="L10" s="1">
        <f>'Profit &amp; loss'!L5*Assumptions!C10</f>
        <v>5188.0264892639998</v>
      </c>
      <c r="M10" s="1">
        <f>'Profit &amp; loss'!M5*Assumptions!C10</f>
        <v>5603.0686084051204</v>
      </c>
      <c r="N10" s="1">
        <f>'Profit &amp; loss'!N5*Assumptions!C10</f>
        <v>6051.3140970775303</v>
      </c>
      <c r="O10" s="1">
        <f>'Profit &amp; loss'!O5*Assumptions!C10</f>
        <v>6535.4192248437303</v>
      </c>
      <c r="P10" s="1">
        <f>'Profit &amp; loss'!P5*Assumptions!C10</f>
        <v>7058.25276283123</v>
      </c>
    </row>
    <row r="11" spans="1:16">
      <c r="D11" s="12"/>
      <c r="E11" s="12"/>
      <c r="F11" s="12"/>
      <c r="G11" s="12"/>
      <c r="H11" s="12"/>
      <c r="I11" s="13"/>
      <c r="J11" s="1"/>
      <c r="K11" s="1"/>
      <c r="L11" s="1"/>
      <c r="M11" s="1"/>
      <c r="N11" s="1"/>
      <c r="O11" s="1"/>
      <c r="P11" s="1"/>
    </row>
    <row r="12" spans="1:16">
      <c r="A12" t="s">
        <v>53</v>
      </c>
      <c r="D12" s="12">
        <f>D7+D8-D9-D10</f>
        <v>-580.49000000000501</v>
      </c>
      <c r="E12" s="12">
        <f t="shared" ref="E12:P12" si="0">E7+E8-E9-E10</f>
        <v>1550.65</v>
      </c>
      <c r="F12" s="12">
        <f t="shared" si="0"/>
        <v>7765.58</v>
      </c>
      <c r="G12" s="12">
        <f t="shared" si="0"/>
        <v>9840.8700000000008</v>
      </c>
      <c r="H12" s="12">
        <f t="shared" si="0"/>
        <v>4016.6099999999901</v>
      </c>
      <c r="I12" s="13">
        <f t="shared" si="0"/>
        <v>12073.16</v>
      </c>
      <c r="J12" s="1">
        <f t="shared" si="0"/>
        <v>31109.27569517841</v>
      </c>
      <c r="K12" s="1">
        <f t="shared" si="0"/>
        <v>33307.673581366093</v>
      </c>
      <c r="L12" s="1">
        <f t="shared" si="0"/>
        <v>36135.767335611599</v>
      </c>
      <c r="M12" s="1">
        <f t="shared" si="0"/>
        <v>39026.628722460497</v>
      </c>
      <c r="N12" s="1">
        <f t="shared" si="0"/>
        <v>42148.759020257297</v>
      </c>
      <c r="O12" s="1">
        <f t="shared" si="0"/>
        <v>38114.977508154203</v>
      </c>
      <c r="P12" s="1">
        <f t="shared" si="0"/>
        <v>48569.857942530303</v>
      </c>
    </row>
    <row r="13" spans="1:16">
      <c r="D13" s="12"/>
      <c r="E13" s="12"/>
      <c r="F13" s="12"/>
      <c r="G13" s="12"/>
      <c r="H13" s="12"/>
      <c r="I13" s="13"/>
      <c r="J13" s="1"/>
      <c r="K13" s="1"/>
      <c r="L13" s="1"/>
      <c r="M13" s="1"/>
      <c r="N13" s="1"/>
      <c r="O13" s="1"/>
      <c r="P13" s="1"/>
    </row>
    <row r="14" spans="1:16">
      <c r="A14" t="s">
        <v>54</v>
      </c>
      <c r="D14" s="12">
        <v>162.75</v>
      </c>
      <c r="E14" s="12">
        <v>561.35</v>
      </c>
      <c r="F14" s="12">
        <v>231.28</v>
      </c>
      <c r="G14" s="12">
        <v>184.98</v>
      </c>
      <c r="H14" s="12">
        <v>405.91</v>
      </c>
      <c r="I14" s="13">
        <v>596.58000000000004</v>
      </c>
      <c r="J14" s="1">
        <f>I15</f>
        <v>622.38</v>
      </c>
      <c r="K14" s="1">
        <f>J15</f>
        <v>31731.655695178411</v>
      </c>
      <c r="L14" s="1">
        <f t="shared" ref="L14:P14" si="1">K15</f>
        <v>65039.329276544508</v>
      </c>
      <c r="M14" s="1">
        <f t="shared" si="1"/>
        <v>101175.09661215611</v>
      </c>
      <c r="N14" s="1">
        <f t="shared" si="1"/>
        <v>140201.72533461661</v>
      </c>
      <c r="O14" s="1">
        <f t="shared" si="1"/>
        <v>182350.48435487392</v>
      </c>
      <c r="P14" s="1">
        <f t="shared" si="1"/>
        <v>220465.46186302812</v>
      </c>
    </row>
    <row r="15" spans="1:16">
      <c r="A15" t="s">
        <v>55</v>
      </c>
      <c r="D15" s="12">
        <v>561.35</v>
      </c>
      <c r="E15" s="12">
        <v>231.25</v>
      </c>
      <c r="F15" s="12">
        <v>184.98</v>
      </c>
      <c r="G15" s="12">
        <v>206.88</v>
      </c>
      <c r="H15" s="12">
        <v>596.58000000000004</v>
      </c>
      <c r="I15" s="13">
        <v>622.38</v>
      </c>
      <c r="J15" s="1">
        <f>J12+J14</f>
        <v>31731.655695178411</v>
      </c>
      <c r="K15" s="1">
        <f t="shared" ref="K15:N15" si="2">K12+K14</f>
        <v>65039.329276544508</v>
      </c>
      <c r="L15" s="1">
        <f t="shared" si="2"/>
        <v>101175.09661215611</v>
      </c>
      <c r="M15" s="1">
        <f t="shared" si="2"/>
        <v>140201.72533461661</v>
      </c>
      <c r="N15" s="1">
        <f t="shared" si="2"/>
        <v>182350.48435487392</v>
      </c>
      <c r="O15" s="1">
        <f t="shared" ref="O15" si="3">O12+O14</f>
        <v>220465.46186302812</v>
      </c>
      <c r="P15" s="1">
        <f t="shared" ref="P15" si="4">P12+P14</f>
        <v>269035.31980555842</v>
      </c>
    </row>
    <row r="16" spans="1:16"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7"/>
  <sheetViews>
    <sheetView zoomScale="90" zoomScaleNormal="90" workbookViewId="0">
      <selection activeCell="J6" sqref="J6"/>
    </sheetView>
  </sheetViews>
  <sheetFormatPr defaultColWidth="9" defaultRowHeight="15"/>
  <cols>
    <col min="1" max="1" width="35.7109375" customWidth="1"/>
    <col min="4" max="9" width="9.28515625" customWidth="1"/>
    <col min="10" max="16" width="10.42578125" customWidth="1"/>
  </cols>
  <sheetData>
    <row r="2" spans="1:17">
      <c r="D2" s="8" t="s">
        <v>15</v>
      </c>
      <c r="E2" s="8" t="s">
        <v>16</v>
      </c>
      <c r="F2" s="8" t="s">
        <v>17</v>
      </c>
      <c r="G2" s="8" t="s">
        <v>18</v>
      </c>
      <c r="H2" s="8" t="s">
        <v>19</v>
      </c>
      <c r="I2" s="9" t="s">
        <v>20</v>
      </c>
      <c r="J2" s="2" t="s">
        <v>21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27</v>
      </c>
    </row>
    <row r="3" spans="1:17" ht="18.75">
      <c r="A3" s="3" t="s">
        <v>56</v>
      </c>
      <c r="D3" s="10">
        <v>43921</v>
      </c>
      <c r="E3" s="10">
        <v>44286</v>
      </c>
      <c r="F3" s="10">
        <v>44651</v>
      </c>
      <c r="G3" s="10">
        <v>45016</v>
      </c>
      <c r="H3" s="10">
        <v>45382</v>
      </c>
      <c r="I3" s="11">
        <v>45747</v>
      </c>
      <c r="J3" s="4">
        <v>46112</v>
      </c>
      <c r="K3" s="4">
        <v>46477</v>
      </c>
      <c r="L3" s="4">
        <v>46843</v>
      </c>
      <c r="M3" s="4">
        <v>47208</v>
      </c>
      <c r="N3" s="4">
        <v>47573</v>
      </c>
      <c r="O3" s="4">
        <v>47574</v>
      </c>
      <c r="P3" s="4">
        <v>47575</v>
      </c>
    </row>
    <row r="4" spans="1:17">
      <c r="D4" s="12"/>
      <c r="E4" s="12"/>
      <c r="F4" s="12"/>
      <c r="G4" s="12"/>
      <c r="H4" s="12"/>
      <c r="I4" s="13"/>
      <c r="J4" s="1"/>
      <c r="K4" s="1"/>
      <c r="L4" s="1"/>
      <c r="M4" s="1"/>
      <c r="N4" s="1"/>
      <c r="O4" s="1"/>
      <c r="P4" s="1"/>
      <c r="Q4" s="1"/>
    </row>
    <row r="5" spans="1:17">
      <c r="A5" t="s">
        <v>57</v>
      </c>
      <c r="D5" s="12"/>
      <c r="E5" s="12"/>
      <c r="F5" s="12"/>
      <c r="G5" s="12"/>
      <c r="H5" s="12"/>
      <c r="I5" s="13"/>
      <c r="J5" s="1"/>
      <c r="K5" s="1"/>
      <c r="L5" s="1"/>
      <c r="M5" s="1"/>
      <c r="N5" s="1"/>
      <c r="O5" s="1"/>
      <c r="P5" s="1"/>
      <c r="Q5" s="1"/>
    </row>
    <row r="6" spans="1:17" s="1" customFormat="1">
      <c r="A6" s="1" t="s">
        <v>58</v>
      </c>
      <c r="D6" s="12">
        <v>18932.57</v>
      </c>
      <c r="E6" s="12">
        <v>18489.91</v>
      </c>
      <c r="F6" s="12">
        <v>19559.150000000001</v>
      </c>
      <c r="G6" s="12">
        <v>20491.32</v>
      </c>
      <c r="H6" s="12">
        <v>22015.5</v>
      </c>
      <c r="I6" s="13">
        <v>17428.89</v>
      </c>
    </row>
    <row r="7" spans="1:17" s="1" customFormat="1">
      <c r="A7" s="1" t="s">
        <v>59</v>
      </c>
      <c r="D7" s="12">
        <v>8038.07</v>
      </c>
      <c r="E7" s="12">
        <v>9470.8700000000008</v>
      </c>
      <c r="F7" s="12">
        <v>9997.77</v>
      </c>
      <c r="G7" s="12">
        <v>10593.9</v>
      </c>
      <c r="H7" s="12">
        <v>12631.51</v>
      </c>
      <c r="I7" s="13">
        <v>15637.56</v>
      </c>
      <c r="J7" s="1">
        <f>'Profit &amp; loss'!J7*Assumptions!C15/365</f>
        <v>16244.68585445759</v>
      </c>
      <c r="K7" s="1">
        <f>'Profit &amp; loss'!K7*Assumptions!C15/365</f>
        <v>17706.7075813587</v>
      </c>
      <c r="L7" s="1">
        <f>'Profit &amp; loss'!L7*Assumptions!C15/365</f>
        <v>19123.2441878674</v>
      </c>
      <c r="M7" s="1">
        <f>'Profit &amp; loss'!M7*Assumptions!C15/365</f>
        <v>20653.103722896802</v>
      </c>
      <c r="N7" s="1">
        <f>'Profit &amp; loss'!N7*Assumptions!C15/365</f>
        <v>22305.352020728598</v>
      </c>
      <c r="O7" s="1">
        <f>'Profit &amp; loss'!O7*Assumptions!C15/365</f>
        <v>24089.780182386901</v>
      </c>
      <c r="P7" s="1">
        <f>'Profit &amp; loss'!P7*Assumptions!C15/365</f>
        <v>26016.962596977799</v>
      </c>
    </row>
    <row r="8" spans="1:17">
      <c r="A8" t="s">
        <v>60</v>
      </c>
      <c r="D8" s="12">
        <v>2092</v>
      </c>
      <c r="E8" s="12">
        <v>2090.35</v>
      </c>
      <c r="F8" s="12">
        <v>1952.5</v>
      </c>
      <c r="G8" s="12">
        <v>2321.33</v>
      </c>
      <c r="H8" s="12">
        <v>3311.45</v>
      </c>
      <c r="I8" s="13">
        <v>4719.67</v>
      </c>
      <c r="J8" s="1">
        <f>'Profit &amp; loss'!J5*Assumptions!C14/365</f>
        <v>5097.2435999999998</v>
      </c>
      <c r="K8" s="1">
        <f>'Profit &amp; loss'!K5*Assumptions!C14/365</f>
        <v>5555.9955239999999</v>
      </c>
      <c r="L8" s="1">
        <f>'Profit &amp; loss'!L5*Assumptions!C14/365</f>
        <v>6000.4751659200001</v>
      </c>
      <c r="M8" s="1">
        <f>'Profit &amp; loss'!M5*Assumptions!C14/365</f>
        <v>6480.5131791936001</v>
      </c>
      <c r="N8" s="1">
        <f>'Profit &amp; loss'!N5*Assumptions!C14/365</f>
        <v>6998.9542335290898</v>
      </c>
      <c r="O8" s="1">
        <f>'Profit &amp; loss'!O5*Assumptions!C14/365</f>
        <v>7558.87057221142</v>
      </c>
      <c r="P8" s="1">
        <f>'Profit &amp; loss'!P5*Assumptions!C14/365</f>
        <v>8163.5802179883303</v>
      </c>
      <c r="Q8" s="1"/>
    </row>
    <row r="9" spans="1:17">
      <c r="A9" t="s">
        <v>61</v>
      </c>
      <c r="D9" s="12">
        <f>847.74+1364.71</f>
        <v>2212.4499999999998</v>
      </c>
      <c r="E9" s="12">
        <f>1231.62+1006.07</f>
        <v>2237.69</v>
      </c>
      <c r="F9" s="12">
        <f>1228.92+1195.15</f>
        <v>2424.0700000000002</v>
      </c>
      <c r="G9" s="12">
        <f>1211.74+1388.09</f>
        <v>2599.83</v>
      </c>
      <c r="H9" s="12">
        <f>1229.22+1134.18</f>
        <v>2363.4</v>
      </c>
      <c r="I9" s="13">
        <f>1015.93+1371.85</f>
        <v>2387.7800000000002</v>
      </c>
      <c r="J9" s="1">
        <f>'Profit &amp; loss'!J5*'Balance sheet'!J10</f>
        <v>3525.6720959999998</v>
      </c>
      <c r="K9" s="1">
        <f>'Profit &amp; loss'!K5*'Balance sheet'!K10</f>
        <v>3842.9825846399999</v>
      </c>
      <c r="L9" s="1">
        <f>'Profit &amp; loss'!L5*'Balance sheet'!L10</f>
        <v>4150.4211914112002</v>
      </c>
      <c r="M9" s="1">
        <f>'Profit &amp; loss'!M5*'Balance sheet'!M10</f>
        <v>4482.4548867241001</v>
      </c>
      <c r="N9" s="1">
        <f>'Profit &amp; loss'!N5*'Balance sheet'!N10</f>
        <v>4841.0512776620299</v>
      </c>
      <c r="O9" s="1">
        <f>'Profit &amp; loss'!O5*'Balance sheet'!O10</f>
        <v>5228.3353798749904</v>
      </c>
      <c r="P9" s="1">
        <f>'Profit &amp; loss'!P5*'Balance sheet'!P10</f>
        <v>5646.6022102649904</v>
      </c>
      <c r="Q9" s="1"/>
    </row>
    <row r="10" spans="1:17" s="7" customFormat="1">
      <c r="A10" s="7" t="s">
        <v>62</v>
      </c>
      <c r="D10" s="14">
        <f>D9/'Profit &amp; loss'!D5</f>
        <v>4.72671593814133E-2</v>
      </c>
      <c r="E10" s="14">
        <f>E9/'Profit &amp; loss'!E5</f>
        <v>4.6114605104963402E-2</v>
      </c>
      <c r="F10" s="14">
        <f>F9/'Profit &amp; loss'!F5</f>
        <v>4.0573224186031598E-2</v>
      </c>
      <c r="G10" s="14">
        <f>G9/'Profit &amp; loss'!G5</f>
        <v>3.7007581925909402E-2</v>
      </c>
      <c r="H10" s="14">
        <f>H9/'Profit &amp; loss'!H5</f>
        <v>3.3712149254357303E-2</v>
      </c>
      <c r="I10" s="15">
        <f>I9/'Profit &amp; loss'!I5</f>
        <v>2.9257427574455899E-2</v>
      </c>
      <c r="J10" s="7">
        <v>0.04</v>
      </c>
      <c r="K10" s="7">
        <v>0.04</v>
      </c>
      <c r="L10" s="7">
        <v>0.04</v>
      </c>
      <c r="M10" s="7">
        <v>0.04</v>
      </c>
      <c r="N10" s="7">
        <v>0.04</v>
      </c>
      <c r="O10" s="7">
        <v>0.04</v>
      </c>
      <c r="P10" s="7">
        <v>0.04</v>
      </c>
    </row>
    <row r="11" spans="1:17">
      <c r="A11" t="s">
        <v>63</v>
      </c>
      <c r="D11" s="12">
        <v>561.84</v>
      </c>
      <c r="E11" s="12">
        <v>231.25</v>
      </c>
      <c r="F11" s="12">
        <v>184.97</v>
      </c>
      <c r="G11" s="12">
        <v>206.88</v>
      </c>
      <c r="H11" s="12">
        <v>197.63</v>
      </c>
      <c r="I11" s="13">
        <v>620</v>
      </c>
      <c r="J11" s="1">
        <f>I11+'Cash flow statement'!J10</f>
        <v>5027.0901199999998</v>
      </c>
      <c r="K11" s="1">
        <f>J11+'Cash flow statement'!K10</f>
        <v>9830.8183508000002</v>
      </c>
      <c r="L11" s="1">
        <f>K11+'Cash flow statement'!L10</f>
        <v>15018.844840064001</v>
      </c>
      <c r="M11" s="1">
        <f>L11+'Cash flow statement'!M10</f>
        <v>20621.913448469099</v>
      </c>
      <c r="N11" s="1">
        <f>M11+'Cash flow statement'!N10</f>
        <v>26673.227545546699</v>
      </c>
      <c r="O11" s="1">
        <f>N11+'Cash flow statement'!O10</f>
        <v>33208.646770390398</v>
      </c>
      <c r="P11" s="1">
        <f>O11+'Cash flow statement'!P10</f>
        <v>40266.8995332216</v>
      </c>
      <c r="Q11" s="1"/>
    </row>
    <row r="12" spans="1:17">
      <c r="A12" t="s">
        <v>64</v>
      </c>
      <c r="D12" s="12">
        <f>D6+D7+D8+D9+D11</f>
        <v>31836.93</v>
      </c>
      <c r="E12" s="12">
        <f t="shared" ref="E12:I12" si="0">E6+E7+E8+E9+E11</f>
        <v>32520.07</v>
      </c>
      <c r="F12" s="12">
        <f t="shared" si="0"/>
        <v>34118.46</v>
      </c>
      <c r="G12" s="12">
        <f t="shared" si="0"/>
        <v>36213.26</v>
      </c>
      <c r="H12" s="12">
        <f t="shared" si="0"/>
        <v>40519.49</v>
      </c>
      <c r="I12" s="13">
        <f t="shared" si="0"/>
        <v>40793.9</v>
      </c>
      <c r="J12" s="16">
        <f>J7+J8+J9+J11</f>
        <v>29894.691670457589</v>
      </c>
      <c r="K12" s="16">
        <f t="shared" ref="K12:N12" si="1">K7+K8+K9+K11</f>
        <v>36936.504040798703</v>
      </c>
      <c r="L12" s="16">
        <f t="shared" si="1"/>
        <v>44292.985385262597</v>
      </c>
      <c r="M12" s="16">
        <f t="shared" si="1"/>
        <v>52237.985237283698</v>
      </c>
      <c r="N12" s="16">
        <f t="shared" si="1"/>
        <v>60818.5850774664</v>
      </c>
      <c r="O12" s="16">
        <f t="shared" ref="O12" si="2">O7+O8+O9+O11</f>
        <v>70085.632904863698</v>
      </c>
      <c r="P12" s="16">
        <f t="shared" ref="P12" si="3">P7+P8+P9+P11</f>
        <v>80094.044558452806</v>
      </c>
      <c r="Q12" s="1"/>
    </row>
    <row r="13" spans="1:17">
      <c r="D13" s="12"/>
      <c r="E13" s="12"/>
      <c r="F13" s="12"/>
      <c r="G13" s="12"/>
      <c r="H13" s="12"/>
      <c r="I13" s="13"/>
      <c r="J13" s="1"/>
      <c r="K13" s="1"/>
      <c r="L13" s="1"/>
      <c r="M13" s="1"/>
      <c r="N13" s="1"/>
      <c r="O13" s="1"/>
      <c r="P13" s="1"/>
      <c r="Q13" s="1"/>
    </row>
    <row r="14" spans="1:17">
      <c r="A14" t="s">
        <v>65</v>
      </c>
      <c r="D14" s="12"/>
      <c r="E14" s="12"/>
      <c r="F14" s="12"/>
      <c r="G14" s="12"/>
      <c r="H14" s="12"/>
      <c r="I14" s="13"/>
      <c r="J14" s="1"/>
      <c r="K14" s="1"/>
      <c r="L14" s="1"/>
      <c r="M14" s="1"/>
      <c r="N14" s="1"/>
      <c r="O14" s="1"/>
      <c r="P14" s="1"/>
      <c r="Q14" s="1"/>
    </row>
    <row r="15" spans="1:17">
      <c r="A15" t="s">
        <v>66</v>
      </c>
      <c r="D15" s="12">
        <f>5.63+259.25+64.87</f>
        <v>329.75</v>
      </c>
      <c r="E15" s="12">
        <f>5.28+272.36+51.36</f>
        <v>329</v>
      </c>
      <c r="F15" s="12">
        <f>4.54+259.79+0.74+46.09</f>
        <v>311.16000000000003</v>
      </c>
      <c r="G15" s="12">
        <f>3.28+273.59+1.26+46.54</f>
        <v>324.67</v>
      </c>
      <c r="H15" s="12">
        <f>1.76+261.95+1.52+46.74</f>
        <v>311.97000000000003</v>
      </c>
      <c r="I15" s="13">
        <f>137.21+91.26+56.07</f>
        <v>284.54000000000002</v>
      </c>
      <c r="J15" s="1">
        <v>284.54000000000002</v>
      </c>
      <c r="K15" s="1">
        <v>284.54000000000002</v>
      </c>
      <c r="L15" s="1">
        <v>284.54000000000002</v>
      </c>
      <c r="M15" s="1">
        <v>284.54000000000002</v>
      </c>
      <c r="N15" s="1">
        <v>284.54000000000002</v>
      </c>
      <c r="O15" s="1">
        <v>284.54000000000002</v>
      </c>
      <c r="P15" s="1">
        <v>284.54000000000002</v>
      </c>
      <c r="Q15" s="1"/>
    </row>
    <row r="16" spans="1:17">
      <c r="A16" t="s">
        <v>67</v>
      </c>
      <c r="D16" s="12">
        <f>34.67+3412.07</f>
        <v>3446.74</v>
      </c>
      <c r="E16" s="12">
        <f>59.34+4060.19</f>
        <v>4119.53</v>
      </c>
      <c r="F16" s="12">
        <f>100.96+4122.44</f>
        <v>4223.3999999999996</v>
      </c>
      <c r="G16" s="12">
        <f>137.5+4213.76</f>
        <v>4351.26</v>
      </c>
      <c r="H16" s="12">
        <f>206.85+4282.7</f>
        <v>4489.55</v>
      </c>
      <c r="I16" s="13">
        <f>180.64+4626.66</f>
        <v>4807.3</v>
      </c>
      <c r="J16" s="1">
        <f>'Profit &amp; loss'!J7*Assumptions!C16/365</f>
        <v>4993.9426808360004</v>
      </c>
      <c r="K16" s="1">
        <f>'Profit &amp; loss'!K7*Assumptions!C16/365</f>
        <v>5443.3975221112496</v>
      </c>
      <c r="L16" s="1">
        <f>'Profit &amp; loss'!L7*Assumptions!C16/365</f>
        <v>5878.8693238801397</v>
      </c>
      <c r="M16" s="1">
        <f>'Profit &amp; loss'!M7*Assumptions!C16/365</f>
        <v>6349.1788697905604</v>
      </c>
      <c r="N16" s="1">
        <f>'Profit &amp; loss'!N7*Assumptions!C16/365</f>
        <v>6857.1131793738004</v>
      </c>
      <c r="O16" s="1">
        <f>'Profit &amp; loss'!O7*Assumptions!D16/365</f>
        <v>0</v>
      </c>
      <c r="P16" s="1">
        <f>'Profit &amp; loss'!P7*Assumptions!E16/365</f>
        <v>0</v>
      </c>
      <c r="Q16" s="1"/>
    </row>
    <row r="17" spans="1:17">
      <c r="A17" t="s">
        <v>68</v>
      </c>
      <c r="D17" s="12">
        <f>90.47+1147.24</f>
        <v>1237.71</v>
      </c>
      <c r="E17" s="12">
        <f>239.35+4369</f>
        <v>4608.3500000000004</v>
      </c>
      <c r="F17" s="12">
        <f>96.5+5097.28</f>
        <v>5193.78</v>
      </c>
      <c r="G17" s="12">
        <f>152.49+5446.16</f>
        <v>5598.65</v>
      </c>
      <c r="H17" s="12">
        <f>149.72+5594.72</f>
        <v>5744.44</v>
      </c>
      <c r="I17" s="13">
        <f>34.51+6148.27</f>
        <v>6182.78</v>
      </c>
      <c r="J17" s="1">
        <f>'Profit &amp; loss'!J5*'Balance sheet'!J18</f>
        <v>6169.926168</v>
      </c>
      <c r="K17" s="1">
        <f>'Profit &amp; loss'!K5*'Balance sheet'!K18</f>
        <v>6725.2195231200003</v>
      </c>
      <c r="L17" s="1">
        <f>'Profit &amp; loss'!L5*'Balance sheet'!L18</f>
        <v>7263.2370849695999</v>
      </c>
      <c r="M17" s="1">
        <f>'Profit &amp; loss'!M5*'Balance sheet'!M18</f>
        <v>7844.29605176717</v>
      </c>
      <c r="N17" s="1">
        <f>'Profit &amp; loss'!N5*'Balance sheet'!N18</f>
        <v>8471.8397359085393</v>
      </c>
      <c r="O17" s="1">
        <f>'Profit &amp; loss'!O5*'Balance sheet'!O18</f>
        <v>9149.58691478123</v>
      </c>
      <c r="P17" s="1">
        <f>'Profit &amp; loss'!P5*'Balance sheet'!P18</f>
        <v>9881.5538679637302</v>
      </c>
      <c r="Q17" s="1"/>
    </row>
    <row r="18" spans="1:17" s="7" customFormat="1">
      <c r="A18" s="7" t="s">
        <v>69</v>
      </c>
      <c r="D18" s="14">
        <f>D17/'Profit &amp; loss'!D5</f>
        <v>2.6442647670215799E-2</v>
      </c>
      <c r="E18" s="14">
        <f>E17/'Profit &amp; loss'!E5</f>
        <v>9.4969473177901303E-2</v>
      </c>
      <c r="F18" s="14">
        <f>F17/'Profit &amp; loss'!F5</f>
        <v>8.6931648142556495E-2</v>
      </c>
      <c r="G18" s="14">
        <f>G17/'Profit &amp; loss'!G5</f>
        <v>7.9694633321983593E-2</v>
      </c>
      <c r="H18" s="14">
        <f>H17/'Profit &amp; loss'!H5</f>
        <v>8.1940178836718294E-2</v>
      </c>
      <c r="I18" s="15">
        <f>I17/'Profit &amp; loss'!I5</f>
        <v>7.5757497784048E-2</v>
      </c>
      <c r="J18" s="7">
        <v>7.0000000000000007E-2</v>
      </c>
      <c r="K18" s="7">
        <v>7.0000000000000007E-2</v>
      </c>
      <c r="L18" s="7">
        <v>7.0000000000000007E-2</v>
      </c>
      <c r="M18" s="7">
        <v>7.0000000000000007E-2</v>
      </c>
      <c r="N18" s="7">
        <v>7.0000000000000007E-2</v>
      </c>
      <c r="O18" s="7">
        <v>7.0000000000000007E-2</v>
      </c>
      <c r="P18" s="7">
        <v>7.0000000000000007E-2</v>
      </c>
    </row>
    <row r="19" spans="1:17">
      <c r="A19" t="s">
        <v>70</v>
      </c>
      <c r="D19" s="12">
        <f>SUM(D15:D17)</f>
        <v>5014.2</v>
      </c>
      <c r="E19" s="12">
        <f t="shared" ref="E19:J19" si="4">SUM(E15:E17)</f>
        <v>9056.8799999999992</v>
      </c>
      <c r="F19" s="12">
        <f t="shared" si="4"/>
        <v>9728.34</v>
      </c>
      <c r="G19" s="12">
        <f t="shared" si="4"/>
        <v>10274.58</v>
      </c>
      <c r="H19" s="12">
        <f t="shared" si="4"/>
        <v>10545.96</v>
      </c>
      <c r="I19" s="13">
        <f t="shared" si="4"/>
        <v>11274.62</v>
      </c>
      <c r="J19" s="16">
        <f t="shared" si="4"/>
        <v>11448.408848835999</v>
      </c>
      <c r="K19" s="16">
        <f t="shared" ref="K19:P19" si="5">SUM(K15:K17)</f>
        <v>12453.157045231201</v>
      </c>
      <c r="L19" s="16">
        <f t="shared" si="5"/>
        <v>13426.6464088497</v>
      </c>
      <c r="M19" s="16">
        <f t="shared" si="5"/>
        <v>14478.0149215577</v>
      </c>
      <c r="N19" s="16">
        <f t="shared" si="5"/>
        <v>15613.492915282301</v>
      </c>
      <c r="O19" s="16">
        <f t="shared" si="5"/>
        <v>9434.1269147812309</v>
      </c>
      <c r="P19" s="16">
        <f t="shared" si="5"/>
        <v>10166.0938679637</v>
      </c>
      <c r="Q19" s="1"/>
    </row>
    <row r="20" spans="1:17">
      <c r="D20" s="12"/>
      <c r="E20" s="12"/>
      <c r="F20" s="12"/>
      <c r="G20" s="12"/>
      <c r="H20" s="12"/>
      <c r="I20" s="13"/>
      <c r="J20" s="1"/>
      <c r="K20" s="1"/>
      <c r="L20" s="1"/>
      <c r="M20" s="1"/>
      <c r="N20" s="1"/>
      <c r="O20" s="1"/>
      <c r="P20" s="1"/>
      <c r="Q20" s="1"/>
    </row>
    <row r="21" spans="1:17">
      <c r="A21" t="s">
        <v>71</v>
      </c>
      <c r="D21" s="12"/>
      <c r="E21" s="12"/>
      <c r="F21" s="12"/>
      <c r="G21" s="12"/>
      <c r="H21" s="12"/>
      <c r="I21" s="13"/>
      <c r="J21" s="1"/>
      <c r="K21" s="1"/>
      <c r="L21" s="1"/>
      <c r="M21" s="1"/>
      <c r="N21" s="1"/>
      <c r="O21" s="1"/>
      <c r="P21" s="1"/>
      <c r="Q21" s="1"/>
    </row>
    <row r="22" spans="1:17">
      <c r="A22" t="s">
        <v>72</v>
      </c>
      <c r="D22" s="12">
        <v>1229.22</v>
      </c>
      <c r="E22" s="12">
        <v>1230.8800000000001</v>
      </c>
      <c r="F22" s="12">
        <v>1232.33</v>
      </c>
      <c r="G22" s="12">
        <v>1242.8</v>
      </c>
      <c r="H22" s="12">
        <v>1248.47</v>
      </c>
      <c r="I22" s="13">
        <v>1251.4100000000001</v>
      </c>
      <c r="J22" s="16">
        <v>1251.4100000000001</v>
      </c>
      <c r="K22" s="16">
        <v>1251.4100000000001</v>
      </c>
      <c r="L22" s="16">
        <v>1251.4100000000001</v>
      </c>
      <c r="M22" s="16">
        <v>1251.4100000000001</v>
      </c>
      <c r="N22" s="16">
        <v>1251.4100000000001</v>
      </c>
      <c r="O22" s="16">
        <v>1251.4100000000001</v>
      </c>
      <c r="P22" s="16">
        <v>1251.4100000000001</v>
      </c>
      <c r="Q22" s="1"/>
    </row>
    <row r="23" spans="1:17">
      <c r="A23" t="s">
        <v>73</v>
      </c>
      <c r="D23" s="12">
        <v>62799.94</v>
      </c>
      <c r="E23" s="12">
        <v>57773.7</v>
      </c>
      <c r="F23" s="12">
        <v>60167.24</v>
      </c>
      <c r="G23" s="12">
        <v>66351</v>
      </c>
      <c r="H23" s="12">
        <v>70984.83</v>
      </c>
      <c r="I23" s="13">
        <v>68778.64</v>
      </c>
      <c r="J23" s="1">
        <f>I23+'Profit &amp; loss'!J25</f>
        <v>103330.22654079999</v>
      </c>
      <c r="K23" s="1">
        <f>J23+'Profit &amp; loss'!K25</f>
        <v>140991.45587027201</v>
      </c>
      <c r="L23" s="1">
        <f>K23+'Profit &amp; loss'!L25</f>
        <v>181665.58354610199</v>
      </c>
      <c r="M23" s="1">
        <f>L23+'Profit &amp; loss'!M25</f>
        <v>225593.641435998</v>
      </c>
      <c r="N23" s="1">
        <f>M23+'Profit &amp; loss'!N25</f>
        <v>273035.94395708601</v>
      </c>
      <c r="O23" s="1">
        <f>N23+'Profit &amp; loss'!O25</f>
        <v>324273.630679861</v>
      </c>
      <c r="P23" s="1">
        <f>O23+'Profit &amp; loss'!P25</f>
        <v>379610.33234045701</v>
      </c>
      <c r="Q23" s="1"/>
    </row>
    <row r="24" spans="1:17">
      <c r="A24" t="s">
        <v>74</v>
      </c>
      <c r="D24" s="12">
        <f>SUM(D22:D23)</f>
        <v>64029.16</v>
      </c>
      <c r="E24" s="12">
        <f t="shared" ref="E24:I24" si="6">SUM(E22:E23)</f>
        <v>59004.58</v>
      </c>
      <c r="F24" s="12">
        <f t="shared" si="6"/>
        <v>61399.57</v>
      </c>
      <c r="G24" s="12">
        <f t="shared" si="6"/>
        <v>67593.8</v>
      </c>
      <c r="H24" s="12">
        <f t="shared" si="6"/>
        <v>72233.3</v>
      </c>
      <c r="I24" s="13">
        <f t="shared" si="6"/>
        <v>70030.05</v>
      </c>
      <c r="J24" s="16">
        <f>J22+J23</f>
        <v>104581.6365408</v>
      </c>
      <c r="K24" s="16">
        <f t="shared" ref="K24:N24" si="7">K22+K23</f>
        <v>142242.86587027201</v>
      </c>
      <c r="L24" s="16">
        <f t="shared" si="7"/>
        <v>182916.99354610199</v>
      </c>
      <c r="M24" s="16">
        <f t="shared" si="7"/>
        <v>226845.051435998</v>
      </c>
      <c r="N24" s="16">
        <f t="shared" si="7"/>
        <v>274287.35395708599</v>
      </c>
      <c r="O24" s="16">
        <f t="shared" ref="O24" si="8">O22+O23</f>
        <v>325525.04067986098</v>
      </c>
      <c r="P24" s="16">
        <f t="shared" ref="P24" si="9">P22+P23</f>
        <v>380861.74234045699</v>
      </c>
      <c r="Q24" s="1"/>
    </row>
    <row r="25" spans="1:17">
      <c r="D25" s="12"/>
      <c r="E25" s="12"/>
      <c r="F25" s="12"/>
      <c r="G25" s="12"/>
      <c r="H25" s="12"/>
      <c r="I25" s="13"/>
      <c r="J25" s="1"/>
      <c r="K25" s="1"/>
      <c r="L25" s="1"/>
      <c r="M25" s="1"/>
      <c r="N25" s="1"/>
      <c r="O25" s="1"/>
      <c r="P25" s="1"/>
      <c r="Q25" s="1"/>
    </row>
    <row r="26" spans="1:17">
      <c r="A26" t="s">
        <v>75</v>
      </c>
      <c r="D26" s="12">
        <f>D7+D8-D16</f>
        <v>6683.33</v>
      </c>
      <c r="E26" s="12">
        <f t="shared" ref="E26:P26" si="10">E7+E8-E16</f>
        <v>7441.69</v>
      </c>
      <c r="F26" s="12">
        <f t="shared" si="10"/>
        <v>7726.87</v>
      </c>
      <c r="G26" s="12">
        <f t="shared" si="10"/>
        <v>8563.9699999999993</v>
      </c>
      <c r="H26" s="12">
        <f t="shared" si="10"/>
        <v>11453.41</v>
      </c>
      <c r="I26" s="13">
        <f t="shared" si="10"/>
        <v>15549.93</v>
      </c>
      <c r="J26" s="12">
        <f t="shared" si="10"/>
        <v>16347.986773621589</v>
      </c>
      <c r="K26" s="12">
        <f t="shared" si="10"/>
        <v>17819.3055832475</v>
      </c>
      <c r="L26" s="12">
        <f t="shared" si="10"/>
        <v>19244.850029907298</v>
      </c>
      <c r="M26" s="12">
        <f t="shared" si="10"/>
        <v>20784.438032299899</v>
      </c>
      <c r="N26" s="12">
        <f t="shared" si="10"/>
        <v>22447.1930748839</v>
      </c>
      <c r="O26" s="12">
        <f t="shared" si="10"/>
        <v>31648.6507545983</v>
      </c>
      <c r="P26" s="12">
        <f t="shared" si="10"/>
        <v>34180.542814966197</v>
      </c>
      <c r="Q26" s="1"/>
    </row>
    <row r="27" spans="1:17">
      <c r="A27" t="s">
        <v>76</v>
      </c>
      <c r="D27" s="12"/>
      <c r="E27" s="12">
        <f>E26-D26</f>
        <v>758.36000000000104</v>
      </c>
      <c r="F27" s="12">
        <f t="shared" ref="F27:N27" si="11">F26-E26</f>
        <v>285.17999999999898</v>
      </c>
      <c r="G27" s="12">
        <f t="shared" si="11"/>
        <v>837.099999999999</v>
      </c>
      <c r="H27" s="12">
        <f t="shared" si="11"/>
        <v>2889.44</v>
      </c>
      <c r="I27" s="13">
        <f t="shared" si="11"/>
        <v>4096.5200000000004</v>
      </c>
      <c r="J27" s="12">
        <f t="shared" si="11"/>
        <v>798.05677362158895</v>
      </c>
      <c r="K27" s="12">
        <f t="shared" si="11"/>
        <v>1471.3188096259109</v>
      </c>
      <c r="L27" s="12">
        <f t="shared" si="11"/>
        <v>1425.5444466598001</v>
      </c>
      <c r="M27" s="12">
        <f t="shared" si="11"/>
        <v>1539.5880023925799</v>
      </c>
      <c r="N27" s="12">
        <f t="shared" si="11"/>
        <v>1662.75504258399</v>
      </c>
      <c r="O27" s="12">
        <f t="shared" ref="O27:P27" si="12">O26-N26</f>
        <v>9201.45767971442</v>
      </c>
      <c r="P27" s="12">
        <f t="shared" si="12"/>
        <v>2531.8920603678698</v>
      </c>
      <c r="Q2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7"/>
  <sheetViews>
    <sheetView topLeftCell="A3" workbookViewId="0">
      <selection activeCell="I13" sqref="I13"/>
    </sheetView>
  </sheetViews>
  <sheetFormatPr defaultColWidth="9" defaultRowHeight="15"/>
  <cols>
    <col min="1" max="1" width="30.7109375" customWidth="1"/>
    <col min="3" max="8" width="9.28515625" customWidth="1"/>
    <col min="9" max="9" width="9.5703125" customWidth="1"/>
  </cols>
  <sheetData>
    <row r="2" spans="1:11"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</row>
    <row r="3" spans="1:11" ht="18.75">
      <c r="A3" s="3" t="s">
        <v>77</v>
      </c>
      <c r="C3" s="4">
        <v>46112</v>
      </c>
      <c r="D3" s="4">
        <v>46477</v>
      </c>
      <c r="E3" s="4">
        <v>46843</v>
      </c>
      <c r="F3" s="4">
        <v>47208</v>
      </c>
      <c r="G3" s="4">
        <v>47573</v>
      </c>
      <c r="H3" s="4">
        <v>47574</v>
      </c>
      <c r="I3" s="4">
        <v>47575</v>
      </c>
    </row>
    <row r="4" spans="1:11">
      <c r="C4" s="1"/>
      <c r="D4" s="1"/>
      <c r="E4" s="1"/>
      <c r="F4" s="1"/>
      <c r="G4" s="1"/>
      <c r="H4" s="1"/>
      <c r="I4" s="1"/>
    </row>
    <row r="5" spans="1:11">
      <c r="A5" t="s">
        <v>78</v>
      </c>
      <c r="C5" s="1">
        <f>'Cash flow statement'!J12</f>
        <v>31109.27569517841</v>
      </c>
      <c r="D5" s="1">
        <f>'Cash flow statement'!K12</f>
        <v>33307.673581366093</v>
      </c>
      <c r="E5" s="1">
        <f>'Cash flow statement'!L12</f>
        <v>36135.767335611599</v>
      </c>
      <c r="F5" s="1">
        <f>'Cash flow statement'!M12</f>
        <v>39026.628722460497</v>
      </c>
      <c r="G5" s="1">
        <f>'Cash flow statement'!N12</f>
        <v>42148.759020257297</v>
      </c>
      <c r="H5" s="1">
        <f>'Cash flow statement'!O12</f>
        <v>38114.977508154203</v>
      </c>
      <c r="I5" s="1">
        <f>'Cash flow statement'!P12</f>
        <v>48569.857942530303</v>
      </c>
    </row>
    <row r="6" spans="1:11">
      <c r="C6" s="1"/>
      <c r="D6" s="1"/>
      <c r="E6" s="1"/>
      <c r="F6" s="1"/>
      <c r="G6" s="1"/>
      <c r="H6" s="1"/>
      <c r="I6" s="1"/>
    </row>
    <row r="7" spans="1:11" s="1" customFormat="1">
      <c r="A7" s="1" t="s">
        <v>79</v>
      </c>
      <c r="C7" s="1">
        <f>1/(1+Assumptions!C12)^1</f>
        <v>0.90909090909090895</v>
      </c>
      <c r="D7" s="1">
        <f>1/(1+Assumptions!C12)^2</f>
        <v>0.82644628099173501</v>
      </c>
      <c r="E7" s="1">
        <f>1/(1+Assumptions!C12)^3</f>
        <v>0.75131480090157798</v>
      </c>
      <c r="F7" s="1">
        <f>1/(1+Assumptions!C12)^4</f>
        <v>0.68301345536507097</v>
      </c>
      <c r="G7" s="1">
        <f>1/(1+Assumptions!C12)^5</f>
        <v>0.62092132305915504</v>
      </c>
      <c r="H7" s="1">
        <f>1/(1+Assumptions!D12)^5</f>
        <v>1</v>
      </c>
      <c r="I7" s="1">
        <f>1/(1+Assumptions!E12)^5</f>
        <v>1</v>
      </c>
    </row>
    <row r="8" spans="1:11">
      <c r="A8" t="s">
        <v>80</v>
      </c>
      <c r="C8" s="1">
        <f>C5*C7</f>
        <v>28281.159722889461</v>
      </c>
      <c r="D8" s="1">
        <f t="shared" ref="D8:G8" si="0">D5*D7</f>
        <v>27527.002959806669</v>
      </c>
      <c r="E8" s="1">
        <f t="shared" si="0"/>
        <v>27149.336841180699</v>
      </c>
      <c r="F8" s="1">
        <f t="shared" si="0"/>
        <v>26655.7125349774</v>
      </c>
      <c r="G8" s="1">
        <f t="shared" si="0"/>
        <v>26171.063216159699</v>
      </c>
      <c r="H8" s="1">
        <f t="shared" ref="H8" si="1">H5*H7</f>
        <v>38114.977508154203</v>
      </c>
      <c r="I8" s="1">
        <f t="shared" ref="I8" si="2">I5*I7</f>
        <v>48569.857942530303</v>
      </c>
    </row>
    <row r="9" spans="1:11">
      <c r="A9" t="s">
        <v>81</v>
      </c>
      <c r="C9" s="1"/>
      <c r="D9" s="1"/>
      <c r="E9" s="1"/>
      <c r="F9" s="1"/>
      <c r="G9" s="5"/>
      <c r="H9" s="1"/>
      <c r="I9" s="6">
        <f>'Cash flow statement'!P12*(1+Assumptions!C13)/(Assumptions!C12-Assumptions!C13)</f>
        <v>714670.76686865999</v>
      </c>
    </row>
    <row r="10" spans="1:11">
      <c r="C10" s="1"/>
      <c r="D10" s="1"/>
      <c r="E10" s="1"/>
      <c r="F10" s="1"/>
      <c r="G10" s="5"/>
      <c r="H10" s="1"/>
      <c r="I10" s="1"/>
      <c r="K10" s="7"/>
    </row>
    <row r="11" spans="1:11">
      <c r="A11" t="s">
        <v>82</v>
      </c>
      <c r="C11" s="1"/>
      <c r="D11" s="1"/>
      <c r="E11" s="1"/>
      <c r="F11" s="1"/>
      <c r="G11" s="5"/>
      <c r="H11" s="1"/>
      <c r="I11" s="6">
        <f>I9*I7</f>
        <v>714670.76686865999</v>
      </c>
    </row>
    <row r="12" spans="1:11">
      <c r="C12" s="1"/>
      <c r="D12" s="1"/>
      <c r="E12" s="1"/>
      <c r="F12" s="1"/>
      <c r="G12" s="5"/>
      <c r="H12" s="1"/>
      <c r="I12" s="1"/>
    </row>
    <row r="13" spans="1:11">
      <c r="A13" t="s">
        <v>83</v>
      </c>
      <c r="C13" s="1"/>
      <c r="D13" s="1"/>
      <c r="E13" s="1"/>
      <c r="F13" s="1"/>
      <c r="G13" s="5"/>
      <c r="H13" s="1"/>
      <c r="I13" s="6">
        <f>I5/(1+Assumptions!C12)^5+I9/(1+Assumptions!C12)^5</f>
        <v>473912.37857026001</v>
      </c>
    </row>
    <row r="14" spans="1:11">
      <c r="C14" s="1"/>
      <c r="D14" s="1"/>
      <c r="E14" s="1"/>
      <c r="F14" s="1"/>
      <c r="G14" s="5"/>
      <c r="H14" s="1"/>
      <c r="I14" s="1"/>
    </row>
    <row r="15" spans="1:11">
      <c r="A15" t="s">
        <v>84</v>
      </c>
      <c r="C15" s="1"/>
      <c r="D15" s="1"/>
      <c r="E15" s="1"/>
      <c r="F15" s="1"/>
      <c r="G15" s="5"/>
      <c r="H15" s="1"/>
      <c r="I15" s="6">
        <f>I13+('Balance sheet'!P11-'Balance sheet'!P15)</f>
        <v>513894.738103482</v>
      </c>
    </row>
    <row r="16" spans="1:11">
      <c r="C16" s="1"/>
      <c r="D16" s="1"/>
      <c r="E16" s="1"/>
      <c r="F16" s="1"/>
      <c r="G16" s="5"/>
      <c r="H16" s="1"/>
      <c r="I16" s="1"/>
    </row>
    <row r="17" spans="1:9">
      <c r="A17" t="s">
        <v>85</v>
      </c>
      <c r="C17" s="1"/>
      <c r="D17" s="1"/>
      <c r="E17" s="1"/>
      <c r="F17" s="1"/>
      <c r="G17" s="5"/>
      <c r="H17" s="1"/>
      <c r="I17" s="6">
        <f>I15/1251.41</f>
        <v>410.65257437888602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PAGE</vt:lpstr>
      <vt:lpstr>Assumptions</vt:lpstr>
      <vt:lpstr>Profit &amp; loss</vt:lpstr>
      <vt:lpstr>Cash flow statement</vt:lpstr>
      <vt:lpstr>Balance sheet</vt:lpstr>
      <vt:lpstr>DCF Valuation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2026-05-14T16:00:00Z</dcterms:created>
  <dcterms:modified xsi:type="dcterms:W3CDTF">2026-06-27T12:36:57Z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672E0DCEE3B241F7A0B41FF00B4D132E_12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